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 Hugh\Downloads\"/>
    </mc:Choice>
  </mc:AlternateContent>
  <xr:revisionPtr revIDLastSave="0" documentId="13_ncr:1_{B8FB1D8E-E946-48B2-AF20-F3971E9E6BF3}" xr6:coauthVersionLast="47" xr6:coauthVersionMax="47" xr10:uidLastSave="{00000000-0000-0000-0000-000000000000}"/>
  <bookViews>
    <workbookView xWindow="-120" yWindow="-120" windowWidth="20730" windowHeight="11040" activeTab="8" xr2:uid="{AA0862D5-1015-4687-B588-14DFB49515BC}"/>
  </bookViews>
  <sheets>
    <sheet name="Wed(Term1)" sheetId="8" r:id="rId1"/>
    <sheet name="Fri(Term1)" sheetId="9" r:id="rId2"/>
    <sheet name="Mon(Term1) " sheetId="5" r:id="rId3"/>
    <sheet name="Tue(Term1)" sheetId="6" r:id="rId4"/>
    <sheet name="Thu(Term1)" sheetId="7" r:id="rId5"/>
    <sheet name="Class list" sheetId="2" r:id="rId6"/>
    <sheet name="Class list answer" sheetId="4" r:id="rId7"/>
    <sheet name="Teacher load table with subject" sheetId="1" r:id="rId8"/>
    <sheet name="Centre Room Allocation" sheetId="3" r:id="rId9"/>
  </sheets>
  <externalReferences>
    <externalReference r:id="rId10"/>
  </externalReferences>
  <definedNames>
    <definedName name="_xlnm._FilterDatabase" localSheetId="6" hidden="1">'Class list answer'!$A$1:$L$109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D37" i="7" l="1"/>
  <c r="AC37" i="7"/>
  <c r="AB37" i="7"/>
  <c r="Y37" i="7"/>
  <c r="X37" i="7"/>
  <c r="W37" i="7"/>
  <c r="R37" i="7"/>
  <c r="Q37" i="7"/>
  <c r="P37" i="7"/>
  <c r="M37" i="7"/>
  <c r="L37" i="7"/>
  <c r="K37" i="7"/>
  <c r="H37" i="7"/>
  <c r="G37" i="7"/>
  <c r="F37" i="7"/>
  <c r="AD36" i="7"/>
  <c r="AC36" i="7"/>
  <c r="AB36" i="7"/>
  <c r="Y36" i="7"/>
  <c r="X36" i="7"/>
  <c r="W36" i="7"/>
  <c r="R36" i="7"/>
  <c r="Q36" i="7"/>
  <c r="P36" i="7"/>
  <c r="M36" i="7"/>
  <c r="L36" i="7"/>
  <c r="K36" i="7"/>
  <c r="H36" i="7"/>
  <c r="G36" i="7"/>
  <c r="F36" i="7"/>
  <c r="AD35" i="7"/>
  <c r="AC35" i="7"/>
  <c r="AB35" i="7"/>
  <c r="Y35" i="7"/>
  <c r="X35" i="7"/>
  <c r="W35" i="7"/>
  <c r="R35" i="7"/>
  <c r="Q35" i="7"/>
  <c r="P35" i="7"/>
  <c r="M35" i="7"/>
  <c r="L35" i="7"/>
  <c r="K35" i="7"/>
  <c r="H35" i="7"/>
  <c r="G35" i="7"/>
  <c r="F35" i="7"/>
  <c r="AD34" i="7"/>
  <c r="AC34" i="7"/>
  <c r="AB34" i="7"/>
  <c r="Y34" i="7"/>
  <c r="X34" i="7"/>
  <c r="W34" i="7"/>
  <c r="R34" i="7"/>
  <c r="Q34" i="7"/>
  <c r="P34" i="7"/>
  <c r="M34" i="7"/>
  <c r="L34" i="7"/>
  <c r="K34" i="7"/>
  <c r="H34" i="7"/>
  <c r="G34" i="7"/>
  <c r="F34" i="7"/>
  <c r="AD33" i="7"/>
  <c r="AC33" i="7"/>
  <c r="AB33" i="7"/>
  <c r="Y33" i="7"/>
  <c r="X33" i="7"/>
  <c r="W33" i="7"/>
  <c r="R33" i="7"/>
  <c r="Q33" i="7"/>
  <c r="P33" i="7"/>
  <c r="M33" i="7"/>
  <c r="L33" i="7"/>
  <c r="K33" i="7"/>
  <c r="H33" i="7"/>
  <c r="G33" i="7"/>
  <c r="F33" i="7"/>
  <c r="AD32" i="7"/>
  <c r="AC32" i="7"/>
  <c r="AB32" i="7"/>
  <c r="Y32" i="7"/>
  <c r="X32" i="7"/>
  <c r="W32" i="7"/>
  <c r="R32" i="7"/>
  <c r="Q32" i="7"/>
  <c r="P32" i="7"/>
  <c r="M32" i="7"/>
  <c r="L32" i="7"/>
  <c r="K32" i="7"/>
  <c r="H32" i="7"/>
  <c r="G32" i="7"/>
  <c r="F32" i="7"/>
  <c r="AD31" i="7"/>
  <c r="AC31" i="7"/>
  <c r="AB31" i="7"/>
  <c r="Y31" i="7"/>
  <c r="X31" i="7"/>
  <c r="W31" i="7"/>
  <c r="R31" i="7"/>
  <c r="Q31" i="7"/>
  <c r="P31" i="7"/>
  <c r="M31" i="7"/>
  <c r="L31" i="7"/>
  <c r="K31" i="7"/>
  <c r="H31" i="7"/>
  <c r="G31" i="7"/>
  <c r="F31" i="7"/>
  <c r="Z63" i="7"/>
  <c r="I60" i="7"/>
  <c r="AD36" i="6"/>
  <c r="AC36" i="6"/>
  <c r="AB36" i="6"/>
  <c r="Y36" i="6"/>
  <c r="X36" i="6"/>
  <c r="W36" i="6"/>
  <c r="R36" i="6"/>
  <c r="Q36" i="6"/>
  <c r="P36" i="6"/>
  <c r="M36" i="6"/>
  <c r="L36" i="6"/>
  <c r="K36" i="6"/>
  <c r="H36" i="6"/>
  <c r="G36" i="6"/>
  <c r="F36" i="6"/>
  <c r="AD35" i="6"/>
  <c r="AC35" i="6"/>
  <c r="AB35" i="6"/>
  <c r="Y35" i="6"/>
  <c r="X35" i="6"/>
  <c r="W35" i="6"/>
  <c r="R35" i="6"/>
  <c r="Q35" i="6"/>
  <c r="P35" i="6"/>
  <c r="M35" i="6"/>
  <c r="L35" i="6"/>
  <c r="K35" i="6"/>
  <c r="H35" i="6"/>
  <c r="G35" i="6"/>
  <c r="F35" i="6"/>
  <c r="AD34" i="6"/>
  <c r="AC34" i="6"/>
  <c r="AB34" i="6"/>
  <c r="Y34" i="6"/>
  <c r="X34" i="6"/>
  <c r="W34" i="6"/>
  <c r="R34" i="6"/>
  <c r="Q34" i="6"/>
  <c r="P34" i="6"/>
  <c r="M34" i="6"/>
  <c r="L34" i="6"/>
  <c r="K34" i="6"/>
  <c r="H34" i="6"/>
  <c r="G34" i="6"/>
  <c r="F34" i="6"/>
  <c r="AD33" i="6"/>
  <c r="AC33" i="6"/>
  <c r="AB33" i="6"/>
  <c r="Y33" i="6"/>
  <c r="X33" i="6"/>
  <c r="W33" i="6"/>
  <c r="R33" i="6"/>
  <c r="Q33" i="6"/>
  <c r="P33" i="6"/>
  <c r="M33" i="6"/>
  <c r="L33" i="6"/>
  <c r="K33" i="6"/>
  <c r="H33" i="6"/>
  <c r="G33" i="6"/>
  <c r="F33" i="6"/>
  <c r="AD32" i="6"/>
  <c r="AC32" i="6"/>
  <c r="AB32" i="6"/>
  <c r="Y32" i="6"/>
  <c r="X32" i="6"/>
  <c r="W32" i="6"/>
  <c r="R32" i="6"/>
  <c r="Q32" i="6"/>
  <c r="P32" i="6"/>
  <c r="M32" i="6"/>
  <c r="L32" i="6"/>
  <c r="K32" i="6"/>
  <c r="H32" i="6"/>
  <c r="G32" i="6"/>
  <c r="F32" i="6"/>
  <c r="AD31" i="6"/>
  <c r="AC31" i="6"/>
  <c r="AB31" i="6"/>
  <c r="Y31" i="6"/>
  <c r="X31" i="6"/>
  <c r="W31" i="6"/>
  <c r="R31" i="6"/>
  <c r="Q31" i="6"/>
  <c r="P31" i="6"/>
  <c r="M31" i="6"/>
  <c r="L31" i="6"/>
  <c r="K31" i="6"/>
  <c r="H31" i="6"/>
  <c r="G31" i="6"/>
  <c r="F31" i="6"/>
  <c r="AD30" i="6"/>
  <c r="AC30" i="6"/>
  <c r="AB30" i="6"/>
  <c r="Y30" i="6"/>
  <c r="X30" i="6"/>
  <c r="W30" i="6"/>
  <c r="R30" i="6"/>
  <c r="Q30" i="6"/>
  <c r="P30" i="6"/>
  <c r="M30" i="6"/>
  <c r="L30" i="6"/>
  <c r="K30" i="6"/>
  <c r="H30" i="6"/>
  <c r="G30" i="6"/>
  <c r="F30" i="6"/>
  <c r="AE58" i="6"/>
  <c r="Z63" i="6"/>
  <c r="S62" i="6"/>
  <c r="N61" i="6"/>
  <c r="I60" i="6"/>
  <c r="AD36" i="5"/>
  <c r="AC36" i="5"/>
  <c r="AB36" i="5"/>
  <c r="Y36" i="5"/>
  <c r="X36" i="5"/>
  <c r="W36" i="5"/>
  <c r="P36" i="5"/>
  <c r="M36" i="5"/>
  <c r="L36" i="5"/>
  <c r="K36" i="5"/>
  <c r="H36" i="5"/>
  <c r="G36" i="5"/>
  <c r="F36" i="5"/>
  <c r="AD35" i="5"/>
  <c r="AC35" i="5"/>
  <c r="AB35" i="5"/>
  <c r="Y35" i="5"/>
  <c r="X35" i="5"/>
  <c r="W35" i="5"/>
  <c r="R35" i="5"/>
  <c r="Q35" i="5"/>
  <c r="P35" i="5"/>
  <c r="M35" i="5"/>
  <c r="L35" i="5"/>
  <c r="K35" i="5"/>
  <c r="H35" i="5"/>
  <c r="G35" i="5"/>
  <c r="F35" i="5"/>
  <c r="AD34" i="5"/>
  <c r="AC34" i="5"/>
  <c r="AB34" i="5"/>
  <c r="Y34" i="5"/>
  <c r="X34" i="5"/>
  <c r="W34" i="5"/>
  <c r="R34" i="5"/>
  <c r="Q34" i="5"/>
  <c r="P34" i="5"/>
  <c r="M34" i="5"/>
  <c r="L34" i="5"/>
  <c r="K34" i="5"/>
  <c r="H34" i="5"/>
  <c r="G34" i="5"/>
  <c r="F34" i="5"/>
  <c r="AD33" i="5"/>
  <c r="AC33" i="5"/>
  <c r="AB33" i="5"/>
  <c r="Y33" i="5"/>
  <c r="X33" i="5"/>
  <c r="W33" i="5"/>
  <c r="R33" i="5"/>
  <c r="Q33" i="5"/>
  <c r="P33" i="5"/>
  <c r="M33" i="5"/>
  <c r="L33" i="5"/>
  <c r="K33" i="5"/>
  <c r="H33" i="5"/>
  <c r="G33" i="5"/>
  <c r="F33" i="5"/>
  <c r="AD32" i="5"/>
  <c r="AC32" i="5"/>
  <c r="AB32" i="5"/>
  <c r="Y32" i="5"/>
  <c r="X32" i="5"/>
  <c r="W32" i="5"/>
  <c r="R32" i="5"/>
  <c r="Q32" i="5"/>
  <c r="P32" i="5"/>
  <c r="M32" i="5"/>
  <c r="L32" i="5"/>
  <c r="K32" i="5"/>
  <c r="H32" i="5"/>
  <c r="G32" i="5"/>
  <c r="F32" i="5"/>
  <c r="AD31" i="5"/>
  <c r="AC31" i="5"/>
  <c r="AB31" i="5"/>
  <c r="Y31" i="5"/>
  <c r="X31" i="5"/>
  <c r="W31" i="5"/>
  <c r="R31" i="5"/>
  <c r="Q31" i="5"/>
  <c r="P31" i="5"/>
  <c r="M31" i="5"/>
  <c r="L31" i="5"/>
  <c r="K31" i="5"/>
  <c r="H31" i="5"/>
  <c r="G31" i="5"/>
  <c r="F31" i="5"/>
  <c r="W29" i="5"/>
  <c r="S62" i="7" l="1"/>
  <c r="AE64" i="7"/>
  <c r="N61" i="7"/>
  <c r="M61" i="5"/>
  <c r="Z57" i="5"/>
  <c r="H60" i="5"/>
  <c r="R62" i="5"/>
  <c r="AE58" i="5"/>
  <c r="Z38" i="5"/>
  <c r="AE39" i="5"/>
  <c r="H41" i="5"/>
  <c r="M42" i="5"/>
  <c r="R43" i="5"/>
  <c r="Z44" i="5"/>
  <c r="AE45" i="5"/>
  <c r="H47" i="5"/>
  <c r="M48" i="5"/>
  <c r="R49" i="5"/>
  <c r="Z50" i="5"/>
  <c r="AE51" i="5"/>
  <c r="H53" i="5"/>
  <c r="M54" i="5"/>
  <c r="R55" i="5"/>
  <c r="Z56" i="5"/>
  <c r="AE57" i="5"/>
  <c r="H59" i="5"/>
  <c r="M60" i="5"/>
  <c r="R61" i="5"/>
  <c r="Z62" i="5"/>
  <c r="AE39" i="6"/>
  <c r="I41" i="6"/>
  <c r="N42" i="6"/>
  <c r="S43" i="6"/>
  <c r="Z44" i="6"/>
  <c r="AE45" i="6"/>
  <c r="I47" i="6"/>
  <c r="N48" i="6"/>
  <c r="S49" i="6"/>
  <c r="Z50" i="6"/>
  <c r="AE51" i="6"/>
  <c r="I53" i="6"/>
  <c r="N54" i="6"/>
  <c r="S55" i="6"/>
  <c r="Z56" i="6"/>
  <c r="AE57" i="6"/>
  <c r="I59" i="6"/>
  <c r="N60" i="6"/>
  <c r="S61" i="6"/>
  <c r="Z62" i="6"/>
  <c r="AE63" i="6"/>
  <c r="I41" i="7"/>
  <c r="N42" i="7"/>
  <c r="S43" i="7"/>
  <c r="Z44" i="7"/>
  <c r="AE45" i="7"/>
  <c r="I47" i="7"/>
  <c r="N48" i="7"/>
  <c r="S49" i="7"/>
  <c r="Z50" i="7"/>
  <c r="AE51" i="7"/>
  <c r="I53" i="7"/>
  <c r="N54" i="7"/>
  <c r="S55" i="7"/>
  <c r="Z56" i="7"/>
  <c r="AE57" i="7"/>
  <c r="I59" i="7"/>
  <c r="N60" i="7"/>
  <c r="S61" i="7"/>
  <c r="Z62" i="7"/>
  <c r="AE63" i="7"/>
  <c r="AE38" i="5"/>
  <c r="H40" i="5"/>
  <c r="M41" i="5"/>
  <c r="R42" i="5"/>
  <c r="Z43" i="5"/>
  <c r="AE44" i="5"/>
  <c r="H46" i="5"/>
  <c r="M47" i="5"/>
  <c r="R48" i="5"/>
  <c r="Z49" i="5"/>
  <c r="AE50" i="5"/>
  <c r="H52" i="5"/>
  <c r="M53" i="5"/>
  <c r="R54" i="5"/>
  <c r="Z55" i="5"/>
  <c r="AE56" i="5"/>
  <c r="H58" i="5"/>
  <c r="M59" i="5"/>
  <c r="R60" i="5"/>
  <c r="Z61" i="5"/>
  <c r="AE62" i="5"/>
  <c r="I40" i="6"/>
  <c r="N41" i="6"/>
  <c r="S42" i="6"/>
  <c r="Z43" i="6"/>
  <c r="AE44" i="6"/>
  <c r="I46" i="6"/>
  <c r="N47" i="6"/>
  <c r="S48" i="6"/>
  <c r="Z49" i="6"/>
  <c r="AE50" i="6"/>
  <c r="I52" i="6"/>
  <c r="N53" i="6"/>
  <c r="S54" i="6"/>
  <c r="Z55" i="6"/>
  <c r="AE56" i="6"/>
  <c r="I58" i="6"/>
  <c r="N59" i="6"/>
  <c r="S60" i="6"/>
  <c r="Z61" i="6"/>
  <c r="AE62" i="6"/>
  <c r="I40" i="7"/>
  <c r="N41" i="7"/>
  <c r="S42" i="7"/>
  <c r="Z43" i="7"/>
  <c r="AE44" i="7"/>
  <c r="I46" i="7"/>
  <c r="N47" i="7"/>
  <c r="S48" i="7"/>
  <c r="Z49" i="7"/>
  <c r="AE50" i="7"/>
  <c r="I52" i="7"/>
  <c r="N53" i="7"/>
  <c r="S54" i="7"/>
  <c r="Z55" i="7"/>
  <c r="AE56" i="7"/>
  <c r="I58" i="7"/>
  <c r="N59" i="7"/>
  <c r="S60" i="7"/>
  <c r="Z61" i="7"/>
  <c r="AE62" i="7"/>
  <c r="I64" i="7"/>
  <c r="H39" i="5"/>
  <c r="M40" i="5"/>
  <c r="R41" i="5"/>
  <c r="Z42" i="5"/>
  <c r="AE43" i="5"/>
  <c r="H45" i="5"/>
  <c r="M46" i="5"/>
  <c r="R47" i="5"/>
  <c r="Z48" i="5"/>
  <c r="AE49" i="5"/>
  <c r="H51" i="5"/>
  <c r="M52" i="5"/>
  <c r="R53" i="5"/>
  <c r="Z54" i="5"/>
  <c r="AE55" i="5"/>
  <c r="H57" i="5"/>
  <c r="M58" i="5"/>
  <c r="R59" i="5"/>
  <c r="Z60" i="5"/>
  <c r="AE61" i="5"/>
  <c r="I39" i="6"/>
  <c r="N40" i="6"/>
  <c r="S41" i="6"/>
  <c r="Z42" i="6"/>
  <c r="AE43" i="6"/>
  <c r="I45" i="6"/>
  <c r="N46" i="6"/>
  <c r="S47" i="6"/>
  <c r="Z48" i="6"/>
  <c r="AE49" i="6"/>
  <c r="I51" i="6"/>
  <c r="N52" i="6"/>
  <c r="S53" i="6"/>
  <c r="Z54" i="6"/>
  <c r="AE55" i="6"/>
  <c r="I57" i="6"/>
  <c r="N58" i="6"/>
  <c r="S59" i="6"/>
  <c r="Z60" i="6"/>
  <c r="AE61" i="6"/>
  <c r="I63" i="6"/>
  <c r="N40" i="7"/>
  <c r="S41" i="7"/>
  <c r="Z42" i="7"/>
  <c r="AE43" i="7"/>
  <c r="I45" i="7"/>
  <c r="N46" i="7"/>
  <c r="S47" i="7"/>
  <c r="Z48" i="7"/>
  <c r="AE49" i="7"/>
  <c r="I51" i="7"/>
  <c r="N52" i="7"/>
  <c r="S53" i="7"/>
  <c r="Z54" i="7"/>
  <c r="AE55" i="7"/>
  <c r="I57" i="7"/>
  <c r="N58" i="7"/>
  <c r="S59" i="7"/>
  <c r="Z60" i="7"/>
  <c r="AE61" i="7"/>
  <c r="I63" i="7"/>
  <c r="N64" i="7"/>
  <c r="H38" i="5"/>
  <c r="M39" i="5"/>
  <c r="R40" i="5"/>
  <c r="Z41" i="5"/>
  <c r="AE42" i="5"/>
  <c r="H44" i="5"/>
  <c r="M45" i="5"/>
  <c r="R46" i="5"/>
  <c r="Z47" i="5"/>
  <c r="AE48" i="5"/>
  <c r="H50" i="5"/>
  <c r="M51" i="5"/>
  <c r="R52" i="5"/>
  <c r="Z53" i="5"/>
  <c r="AE54" i="5"/>
  <c r="H56" i="5"/>
  <c r="M57" i="5"/>
  <c r="R58" i="5"/>
  <c r="Z59" i="5"/>
  <c r="AE60" i="5"/>
  <c r="H62" i="5"/>
  <c r="N39" i="6"/>
  <c r="S40" i="6"/>
  <c r="Z41" i="6"/>
  <c r="AE42" i="6"/>
  <c r="I44" i="6"/>
  <c r="N45" i="6"/>
  <c r="S46" i="6"/>
  <c r="Z47" i="6"/>
  <c r="AE48" i="6"/>
  <c r="I50" i="6"/>
  <c r="N51" i="6"/>
  <c r="S52" i="6"/>
  <c r="Z53" i="6"/>
  <c r="AE54" i="6"/>
  <c r="I56" i="6"/>
  <c r="N57" i="6"/>
  <c r="S58" i="6"/>
  <c r="Z59" i="6"/>
  <c r="AE60" i="6"/>
  <c r="I62" i="6"/>
  <c r="N63" i="6"/>
  <c r="S40" i="7"/>
  <c r="Z41" i="7"/>
  <c r="AE42" i="7"/>
  <c r="I44" i="7"/>
  <c r="N45" i="7"/>
  <c r="S46" i="7"/>
  <c r="Z47" i="7"/>
  <c r="AE48" i="7"/>
  <c r="I50" i="7"/>
  <c r="N51" i="7"/>
  <c r="S52" i="7"/>
  <c r="Z53" i="7"/>
  <c r="AE54" i="7"/>
  <c r="I56" i="7"/>
  <c r="N57" i="7"/>
  <c r="S58" i="7"/>
  <c r="Z59" i="7"/>
  <c r="AE60" i="7"/>
  <c r="I62" i="7"/>
  <c r="N63" i="7"/>
  <c r="S64" i="7"/>
  <c r="M38" i="5"/>
  <c r="R39" i="5"/>
  <c r="Z40" i="5"/>
  <c r="AE41" i="5"/>
  <c r="H43" i="5"/>
  <c r="M44" i="5"/>
  <c r="R45" i="5"/>
  <c r="Z46" i="5"/>
  <c r="AE47" i="5"/>
  <c r="H49" i="5"/>
  <c r="M50" i="5"/>
  <c r="R51" i="5"/>
  <c r="Z52" i="5"/>
  <c r="AE53" i="5"/>
  <c r="H55" i="5"/>
  <c r="M56" i="5"/>
  <c r="R57" i="5"/>
  <c r="Z58" i="5"/>
  <c r="AE59" i="5"/>
  <c r="H61" i="5"/>
  <c r="M62" i="5"/>
  <c r="S39" i="6"/>
  <c r="Z40" i="6"/>
  <c r="AE41" i="6"/>
  <c r="I43" i="6"/>
  <c r="N44" i="6"/>
  <c r="S45" i="6"/>
  <c r="Z46" i="6"/>
  <c r="AE47" i="6"/>
  <c r="I49" i="6"/>
  <c r="N50" i="6"/>
  <c r="S51" i="6"/>
  <c r="Z52" i="6"/>
  <c r="AE53" i="6"/>
  <c r="I55" i="6"/>
  <c r="N56" i="6"/>
  <c r="S57" i="6"/>
  <c r="Z58" i="6"/>
  <c r="AE59" i="6"/>
  <c r="I61" i="6"/>
  <c r="N62" i="6"/>
  <c r="S63" i="6"/>
  <c r="Z40" i="7"/>
  <c r="AE41" i="7"/>
  <c r="I43" i="7"/>
  <c r="N44" i="7"/>
  <c r="S45" i="7"/>
  <c r="Z46" i="7"/>
  <c r="AE47" i="7"/>
  <c r="I49" i="7"/>
  <c r="N50" i="7"/>
  <c r="S51" i="7"/>
  <c r="Z52" i="7"/>
  <c r="AE53" i="7"/>
  <c r="I55" i="7"/>
  <c r="N56" i="7"/>
  <c r="S57" i="7"/>
  <c r="Z58" i="7"/>
  <c r="AE59" i="7"/>
  <c r="I61" i="7"/>
  <c r="N62" i="7"/>
  <c r="S63" i="7"/>
  <c r="Z64" i="7"/>
  <c r="R38" i="5"/>
  <c r="Z39" i="5"/>
  <c r="AE40" i="5"/>
  <c r="H42" i="5"/>
  <c r="M43" i="5"/>
  <c r="R44" i="5"/>
  <c r="Z45" i="5"/>
  <c r="AE46" i="5"/>
  <c r="H48" i="5"/>
  <c r="M49" i="5"/>
  <c r="R50" i="5"/>
  <c r="Z51" i="5"/>
  <c r="AE52" i="5"/>
  <c r="H54" i="5"/>
  <c r="M55" i="5"/>
  <c r="R56" i="5"/>
  <c r="Z39" i="6"/>
  <c r="AE40" i="6"/>
  <c r="I42" i="6"/>
  <c r="N43" i="6"/>
  <c r="S44" i="6"/>
  <c r="Z45" i="6"/>
  <c r="AE46" i="6"/>
  <c r="I48" i="6"/>
  <c r="N49" i="6"/>
  <c r="S50" i="6"/>
  <c r="Z51" i="6"/>
  <c r="AE52" i="6"/>
  <c r="I54" i="6"/>
  <c r="N55" i="6"/>
  <c r="S56" i="6"/>
  <c r="Z57" i="6"/>
  <c r="AE40" i="7"/>
  <c r="I42" i="7"/>
  <c r="N43" i="7"/>
  <c r="S44" i="7"/>
  <c r="Z45" i="7"/>
  <c r="AE46" i="7"/>
  <c r="I48" i="7"/>
  <c r="N49" i="7"/>
  <c r="S50" i="7"/>
  <c r="Z51" i="7"/>
  <c r="AE52" i="7"/>
  <c r="I54" i="7"/>
  <c r="N55" i="7"/>
  <c r="S56" i="7"/>
  <c r="Z57" i="7"/>
  <c r="AE58" i="7"/>
</calcChain>
</file>

<file path=xl/sharedStrings.xml><?xml version="1.0" encoding="utf-8"?>
<sst xmlns="http://schemas.openxmlformats.org/spreadsheetml/2006/main" count="3891" uniqueCount="589">
  <si>
    <t>CSW - C1</t>
  </si>
  <si>
    <t>C1</t>
  </si>
  <si>
    <t>CSW - C2</t>
  </si>
  <si>
    <t>C2</t>
  </si>
  <si>
    <t>CSW - C3</t>
  </si>
  <si>
    <t>C3</t>
  </si>
  <si>
    <t>CSW - C4</t>
  </si>
  <si>
    <t>C4</t>
  </si>
  <si>
    <t>CSW - C5</t>
  </si>
  <si>
    <t>C5</t>
  </si>
  <si>
    <t>CSW - C6</t>
  </si>
  <si>
    <t>C6</t>
  </si>
  <si>
    <t>WT - WT1</t>
  </si>
  <si>
    <t>WT1</t>
  </si>
  <si>
    <t>WT - WT2</t>
  </si>
  <si>
    <t>KT - KT1</t>
  </si>
  <si>
    <t>KT1</t>
  </si>
  <si>
    <t>KT - KT2</t>
  </si>
  <si>
    <t>KT2</t>
  </si>
  <si>
    <t>KT - KT3</t>
  </si>
  <si>
    <t>KT3</t>
  </si>
  <si>
    <t>TKO - TKO</t>
  </si>
  <si>
    <t>TKO</t>
  </si>
  <si>
    <t>TS - TS</t>
  </si>
  <si>
    <t>TS</t>
  </si>
  <si>
    <t>TM - TM1</t>
  </si>
  <si>
    <t>TM1</t>
  </si>
  <si>
    <t>TM - TM2</t>
  </si>
  <si>
    <t>TM2</t>
  </si>
  <si>
    <t>TM - TM3</t>
  </si>
  <si>
    <t>TM3</t>
  </si>
  <si>
    <t>TW - TW1</t>
  </si>
  <si>
    <t>TW1</t>
  </si>
  <si>
    <t>TW - TW2</t>
  </si>
  <si>
    <t>TW2</t>
  </si>
  <si>
    <t>TW - TW3</t>
  </si>
  <si>
    <t>TW3</t>
  </si>
  <si>
    <t>SW - SW</t>
  </si>
  <si>
    <t>SW</t>
  </si>
  <si>
    <t>ST - ST1</t>
  </si>
  <si>
    <t>ST1</t>
  </si>
  <si>
    <t>ST - ST2</t>
  </si>
  <si>
    <t>ST2</t>
  </si>
  <si>
    <t>ST - ST3</t>
  </si>
  <si>
    <t>ST3</t>
  </si>
  <si>
    <t>FL - FL</t>
  </si>
  <si>
    <t>FL</t>
  </si>
  <si>
    <t>SSP - 303</t>
  </si>
  <si>
    <t>SSP - 203</t>
  </si>
  <si>
    <t>SSP - 204</t>
  </si>
  <si>
    <t>SSP - 104</t>
  </si>
  <si>
    <t>SSP - 101</t>
  </si>
  <si>
    <t>SSP - 103</t>
  </si>
  <si>
    <t>SSP - 201</t>
  </si>
  <si>
    <t>No of Seats</t>
    <phoneticPr fontId="2" type="noConversion"/>
  </si>
  <si>
    <t>Max no of seats</t>
    <phoneticPr fontId="2" type="noConversion"/>
  </si>
  <si>
    <t>DAE101_CS1</t>
  </si>
  <si>
    <t>Chinese Language</t>
    <phoneticPr fontId="2" type="noConversion"/>
  </si>
  <si>
    <t>中國語文</t>
    <phoneticPr fontId="2" type="noConversion"/>
  </si>
  <si>
    <t>Mr. Chris Chau</t>
  </si>
  <si>
    <t>DAE101_CS2</t>
  </si>
  <si>
    <t>DAE101_CS3</t>
  </si>
  <si>
    <t>Mr. Man Li</t>
  </si>
  <si>
    <t>DAE101_CS4</t>
  </si>
  <si>
    <t>Mr. Suen Kin</t>
  </si>
  <si>
    <t>DAE101_CS5</t>
  </si>
  <si>
    <t>DAE101_CS6</t>
  </si>
  <si>
    <t>DAE101_WT1</t>
  </si>
  <si>
    <t>Ms. Lee Sum Kit</t>
  </si>
  <si>
    <t>DAE101_WT2</t>
  </si>
  <si>
    <t>DAE101_SW1</t>
  </si>
  <si>
    <t>DAE101_TW1</t>
  </si>
  <si>
    <t>Mr. Suen Kin</t>
    <phoneticPr fontId="2" type="noConversion"/>
  </si>
  <si>
    <t>DAE101_TW2</t>
  </si>
  <si>
    <t>DAE101_TW3</t>
  </si>
  <si>
    <t>Mr. Mercury Lee</t>
  </si>
  <si>
    <t>DAE101_TM1</t>
  </si>
  <si>
    <t>Mr. Alan Ho</t>
    <phoneticPr fontId="2" type="noConversion"/>
  </si>
  <si>
    <t>DAE101_TM2</t>
  </si>
  <si>
    <t>DAE101_TS1</t>
  </si>
  <si>
    <t>Mr. Bob Leung</t>
    <phoneticPr fontId="2" type="noConversion"/>
  </si>
  <si>
    <t>DAE101_TS2</t>
  </si>
  <si>
    <t>DAE101_TS3</t>
  </si>
  <si>
    <t>DAE101_TS4</t>
  </si>
  <si>
    <t>DAE101_KT1</t>
  </si>
  <si>
    <t>DAE101_KT2</t>
  </si>
  <si>
    <t>DAE101_KT3</t>
  </si>
  <si>
    <t>DAE101_TK1</t>
  </si>
  <si>
    <t>DAE101_ST1</t>
  </si>
  <si>
    <t>DAE101_ST2</t>
  </si>
  <si>
    <t>DAE101_ST3</t>
  </si>
  <si>
    <t>DAE101_FL1</t>
  </si>
  <si>
    <t>DAE101_FL2</t>
  </si>
  <si>
    <t>DAE101_FL3</t>
  </si>
  <si>
    <t>DAE102_CS1</t>
  </si>
  <si>
    <t>Mr. Ivan Yuen</t>
    <phoneticPr fontId="2" type="noConversion"/>
  </si>
  <si>
    <t>Mr. Peter Barrett</t>
    <phoneticPr fontId="2" type="noConversion"/>
  </si>
  <si>
    <t>DAE102_CS2</t>
  </si>
  <si>
    <t>DAE102_CS3</t>
  </si>
  <si>
    <t>DAE102_CS4</t>
  </si>
  <si>
    <t>Ms. Elise Ye</t>
    <phoneticPr fontId="2" type="noConversion"/>
  </si>
  <si>
    <t>Mr. Chris Hon</t>
    <phoneticPr fontId="2" type="noConversion"/>
  </si>
  <si>
    <t>Ms. Cherry Ip</t>
    <phoneticPr fontId="2" type="noConversion"/>
  </si>
  <si>
    <t>DAE102_CS5</t>
  </si>
  <si>
    <t>DAE102_CS6</t>
  </si>
  <si>
    <t>Mr. Ray Leung</t>
    <phoneticPr fontId="2" type="noConversion"/>
  </si>
  <si>
    <t>DAE102_WT1</t>
  </si>
  <si>
    <t>DAE102_WT2</t>
  </si>
  <si>
    <t>DAE102_SW1</t>
  </si>
  <si>
    <t>DAE102_TW1</t>
  </si>
  <si>
    <t>Ms. Sasha Cheung</t>
    <phoneticPr fontId="2" type="noConversion"/>
  </si>
  <si>
    <t>DAE102_TW2</t>
  </si>
  <si>
    <t>DAE102_TW3</t>
  </si>
  <si>
    <t>DAE102_TM1</t>
  </si>
  <si>
    <t>DAE102_TM2</t>
  </si>
  <si>
    <t>DAE102_TM3</t>
  </si>
  <si>
    <t>DAE102_TM4</t>
  </si>
  <si>
    <t>DAE102_KT1</t>
  </si>
  <si>
    <t>DAE102_KT2</t>
  </si>
  <si>
    <t>DAE102_KT3</t>
  </si>
  <si>
    <t>DAE102_TK1</t>
  </si>
  <si>
    <t>DAE102_ST1</t>
  </si>
  <si>
    <t>DAE102_ST2</t>
  </si>
  <si>
    <t>DAE102_ST3</t>
  </si>
  <si>
    <t>DAE102_FL1</t>
  </si>
  <si>
    <t>DAE102_FL2</t>
  </si>
  <si>
    <t>DAE102_FL3</t>
  </si>
  <si>
    <t>DAE103_CS1</t>
    <phoneticPr fontId="2" type="noConversion"/>
  </si>
  <si>
    <t>Mathematics</t>
    <phoneticPr fontId="2" type="noConversion"/>
  </si>
  <si>
    <t>Mr. Kevin Ho</t>
    <phoneticPr fontId="2" type="noConversion"/>
  </si>
  <si>
    <t>DAE103_CS2</t>
  </si>
  <si>
    <t>Mr. Mike Wong</t>
    <phoneticPr fontId="2" type="noConversion"/>
  </si>
  <si>
    <t>DAE103_CS3</t>
  </si>
  <si>
    <t>Ms. Jo Hugh</t>
    <phoneticPr fontId="2" type="noConversion"/>
  </si>
  <si>
    <t>DAE103_CS4</t>
  </si>
  <si>
    <t>DAE103_CS5</t>
  </si>
  <si>
    <t>DAE103_CS6</t>
  </si>
  <si>
    <t>DAE103_WT1</t>
  </si>
  <si>
    <t>Mr. Edward Siu</t>
    <phoneticPr fontId="2" type="noConversion"/>
  </si>
  <si>
    <t>DAE103_WT2</t>
  </si>
  <si>
    <t>DAE103_SW1</t>
  </si>
  <si>
    <t>Mr. Steve Chan</t>
    <phoneticPr fontId="2" type="noConversion"/>
  </si>
  <si>
    <t>DAE103_TW1</t>
  </si>
  <si>
    <t>DAE103_TW2</t>
  </si>
  <si>
    <t>DAE103_TW3</t>
  </si>
  <si>
    <t>DAE103_TM1</t>
  </si>
  <si>
    <t>DAE103_TM2</t>
  </si>
  <si>
    <t>DAE103_TS1</t>
  </si>
  <si>
    <t>DAE103_TS2</t>
  </si>
  <si>
    <t>DAE103_TS3</t>
  </si>
  <si>
    <t>DAE103_TS4</t>
  </si>
  <si>
    <t>DAE103_KT1</t>
  </si>
  <si>
    <t>DAE103_KT2</t>
  </si>
  <si>
    <t>DAE103_KT3</t>
  </si>
  <si>
    <t>DAE103_TK1</t>
  </si>
  <si>
    <t>DAE103_ST1</t>
  </si>
  <si>
    <t>DAE103_ST2</t>
  </si>
  <si>
    <t>DAE103_ST3</t>
  </si>
  <si>
    <t>DAE103_FL1</t>
  </si>
  <si>
    <t>Mr. Newman Lo</t>
    <phoneticPr fontId="2" type="noConversion"/>
  </si>
  <si>
    <t>DAE103_FL2</t>
  </si>
  <si>
    <t>DAE103_FL3</t>
  </si>
  <si>
    <t>DAE106_CS1</t>
  </si>
  <si>
    <t>生涯規劃</t>
  </si>
  <si>
    <t>Mr. Mark Yu</t>
    <phoneticPr fontId="2" type="noConversion"/>
  </si>
  <si>
    <t>DAE106_CS2</t>
  </si>
  <si>
    <t>DAE106_CS3</t>
  </si>
  <si>
    <t>DAE106_CS4</t>
  </si>
  <si>
    <t>DAE106_CS5</t>
  </si>
  <si>
    <t>Mr. Man Li</t>
    <phoneticPr fontId="2" type="noConversion"/>
  </si>
  <si>
    <t>DAE106_CS6</t>
  </si>
  <si>
    <t>DAE106_WT1</t>
  </si>
  <si>
    <t>DAE106_WT2</t>
  </si>
  <si>
    <t>Mr. Mercury Lee</t>
    <phoneticPr fontId="2" type="noConversion"/>
  </si>
  <si>
    <t>DAE106_SW1</t>
  </si>
  <si>
    <t>Ms. Joanne Chow</t>
    <phoneticPr fontId="2" type="noConversion"/>
  </si>
  <si>
    <t>DAE106_TW1</t>
  </si>
  <si>
    <t>DAE106_TW2</t>
  </si>
  <si>
    <t>DAE106_TW3</t>
  </si>
  <si>
    <t>Ms. Sally Yip</t>
    <phoneticPr fontId="2" type="noConversion"/>
  </si>
  <si>
    <t>DAE106_TM1</t>
  </si>
  <si>
    <t>DAE106_TM2</t>
  </si>
  <si>
    <t>DAE106_TM3</t>
  </si>
  <si>
    <t>DAE106_TS1</t>
  </si>
  <si>
    <t>DAE106_TS2</t>
  </si>
  <si>
    <t>DAE106_TS3</t>
  </si>
  <si>
    <t>DAE106_TS4</t>
  </si>
  <si>
    <t>DAE106_KT1</t>
  </si>
  <si>
    <t>Ms. Kathy Wong</t>
    <phoneticPr fontId="2" type="noConversion"/>
  </si>
  <si>
    <t>DAE106_KT2</t>
  </si>
  <si>
    <t>DAE106_KT3</t>
  </si>
  <si>
    <t>DAE106_TK1</t>
  </si>
  <si>
    <t>Mr. Lincoln Ho</t>
    <phoneticPr fontId="2" type="noConversion"/>
  </si>
  <si>
    <t>DAE106_ST1</t>
  </si>
  <si>
    <t>DAE106_ST2</t>
  </si>
  <si>
    <t>DAE106_ST3</t>
  </si>
  <si>
    <t>DAE106_FL1</t>
    <phoneticPr fontId="2" type="noConversion"/>
  </si>
  <si>
    <t>DAE106_FL2</t>
  </si>
  <si>
    <t>DAE106_FL3</t>
  </si>
  <si>
    <t>DAE108_CS6</t>
    <phoneticPr fontId="2" type="noConversion"/>
  </si>
  <si>
    <t>Maths Plus</t>
  </si>
  <si>
    <t>延伸數學</t>
  </si>
  <si>
    <t>DAE108_TW3</t>
    <phoneticPr fontId="2" type="noConversion"/>
  </si>
  <si>
    <t>Course Code</t>
  </si>
  <si>
    <t>Course Name(English)</t>
  </si>
  <si>
    <t>Course Name</t>
  </si>
  <si>
    <t>Lecturer1</t>
  </si>
  <si>
    <t>Lecturer2 (Net)</t>
  </si>
  <si>
    <t>Lecturer3 (Net)</t>
  </si>
  <si>
    <t>Checking</t>
  </si>
  <si>
    <t>Day</t>
  </si>
  <si>
    <t>Venue</t>
  </si>
  <si>
    <t>Mr. Alan Ho</t>
  </si>
  <si>
    <t>Mr. Bob Leung</t>
  </si>
  <si>
    <t>DAE103_CS1</t>
  </si>
  <si>
    <t>Mathematics</t>
  </si>
  <si>
    <t>數學</t>
  </si>
  <si>
    <t>Mr. Kevin Ho</t>
  </si>
  <si>
    <t>Mr. Mike Wong</t>
  </si>
  <si>
    <t>Ms. Jo Hugh</t>
  </si>
  <si>
    <t>Mr. Edward Siu</t>
  </si>
  <si>
    <t>Mr. Steve Chan</t>
  </si>
  <si>
    <t>Mr. Newman Lo</t>
  </si>
  <si>
    <t>DAE106_TM3</t>
    <phoneticPr fontId="2" type="noConversion"/>
  </si>
  <si>
    <t>Chinese Language</t>
  </si>
  <si>
    <t>中國語文</t>
  </si>
  <si>
    <t>Wednesday</t>
  </si>
  <si>
    <t>1400 - 1600</t>
  </si>
  <si>
    <t>WT - WT</t>
  </si>
  <si>
    <t>Monday</t>
  </si>
  <si>
    <t>0900 - 1100</t>
  </si>
  <si>
    <t>Friday</t>
  </si>
  <si>
    <t>Tuesday</t>
  </si>
  <si>
    <t>TW - A</t>
  </si>
  <si>
    <t>TW - B</t>
  </si>
  <si>
    <t>Thursday</t>
  </si>
  <si>
    <t>TW - C</t>
  </si>
  <si>
    <t>TM - C</t>
  </si>
  <si>
    <t>KT - C</t>
  </si>
  <si>
    <t>KT - B</t>
  </si>
  <si>
    <t>1430 - 1630</t>
  </si>
  <si>
    <t>KT - A</t>
  </si>
  <si>
    <t>1000 - 1200</t>
  </si>
  <si>
    <t>TK - TK</t>
  </si>
  <si>
    <t>ST - C</t>
  </si>
  <si>
    <t>ST - A</t>
  </si>
  <si>
    <t>English Language</t>
  </si>
  <si>
    <t>英國語文</t>
  </si>
  <si>
    <t>Mr. Ivan Yuen</t>
  </si>
  <si>
    <t>0830 - 1030</t>
  </si>
  <si>
    <t>Ms. Elise Ye</t>
  </si>
  <si>
    <t>Mr. Chris Hon</t>
  </si>
  <si>
    <t>Ms. Cherry Ip</t>
  </si>
  <si>
    <t>Mr. Ray Leung</t>
  </si>
  <si>
    <t>Ms. Sasha Cheung</t>
  </si>
  <si>
    <t>Mr. Peter Barrett</t>
  </si>
  <si>
    <t>TM - B</t>
  </si>
  <si>
    <t xml:space="preserve">1500 - 1700 </t>
  </si>
  <si>
    <t>Ms. Lee Kit Wan</t>
  </si>
  <si>
    <t>ST - B</t>
  </si>
  <si>
    <t>1100 - 1300</t>
  </si>
  <si>
    <t>1500 - 1700</t>
  </si>
  <si>
    <t>1300 - 1500</t>
  </si>
  <si>
    <t>1630 - 1830</t>
  </si>
  <si>
    <t>1600 - 1800</t>
  </si>
  <si>
    <t>Career and Life Planning</t>
  </si>
  <si>
    <t>Mr. Mark Yu</t>
  </si>
  <si>
    <t>Ms. Joanne Chow</t>
  </si>
  <si>
    <t>Mr. Eddie Cheung</t>
  </si>
  <si>
    <t>Ms. Sally Yip</t>
  </si>
  <si>
    <t>Ms. Kathy Wong</t>
  </si>
  <si>
    <t>Mr. Lincoln Ho</t>
  </si>
  <si>
    <t>DAE108_CS6</t>
  </si>
  <si>
    <t>DAE108_TW3</t>
  </si>
  <si>
    <t>Subject Code</t>
  </si>
  <si>
    <t>Subject Name (English)</t>
  </si>
  <si>
    <t>Subject Name (Chinese)</t>
  </si>
  <si>
    <t>Lecturer 1</t>
  </si>
  <si>
    <t>Lecturer 2</t>
  </si>
  <si>
    <t>Lecturer 3</t>
  </si>
  <si>
    <t>Student No</t>
  </si>
  <si>
    <t>DAE106_FL1</t>
  </si>
  <si>
    <t>Venue</t>
    <phoneticPr fontId="2" type="noConversion"/>
  </si>
  <si>
    <t>Time</t>
    <phoneticPr fontId="2" type="noConversion"/>
  </si>
  <si>
    <t>Loading</t>
    <phoneticPr fontId="2" type="noConversion"/>
  </si>
  <si>
    <t>Date (Mon/Tue/Thu)</t>
    <phoneticPr fontId="2" type="noConversion"/>
  </si>
  <si>
    <t>Time 1</t>
    <phoneticPr fontId="2" type="noConversion"/>
  </si>
  <si>
    <t>Time 2</t>
    <phoneticPr fontId="2" type="noConversion"/>
  </si>
  <si>
    <t>1600 - 1800</t>
    <phoneticPr fontId="2" type="noConversion"/>
  </si>
  <si>
    <t>1630 - 1830</t>
    <phoneticPr fontId="2" type="noConversion"/>
  </si>
  <si>
    <t>1200 - 1400</t>
    <phoneticPr fontId="2" type="noConversion"/>
  </si>
  <si>
    <t>1100 - 1300</t>
    <phoneticPr fontId="2" type="noConversion"/>
  </si>
  <si>
    <t>1030 - 1230</t>
    <phoneticPr fontId="2" type="noConversion"/>
  </si>
  <si>
    <t>0900 - 1100</t>
    <phoneticPr fontId="2" type="noConversion"/>
  </si>
  <si>
    <t>1400 - 1600</t>
    <phoneticPr fontId="2" type="noConversion"/>
  </si>
  <si>
    <t>1300 - 1500</t>
    <phoneticPr fontId="2" type="noConversion"/>
  </si>
  <si>
    <t>1500 - 1700</t>
    <phoneticPr fontId="2" type="noConversion"/>
  </si>
  <si>
    <t>No.</t>
    <phoneticPr fontId="2" type="noConversion"/>
  </si>
  <si>
    <t>Teachers</t>
    <phoneticPr fontId="2" type="noConversion"/>
  </si>
  <si>
    <t>Mr. Chris Chau</t>
    <phoneticPr fontId="2" type="noConversion"/>
  </si>
  <si>
    <t>Mr. Eddie Chueng</t>
    <phoneticPr fontId="2" type="noConversion"/>
  </si>
  <si>
    <t>Mr. Cherry Ip</t>
    <phoneticPr fontId="2" type="noConversion"/>
  </si>
  <si>
    <t>MathsPlus</t>
    <phoneticPr fontId="2" type="noConversion"/>
  </si>
  <si>
    <t>Career and Life Learning</t>
    <phoneticPr fontId="2" type="noConversion"/>
  </si>
  <si>
    <t>Ms. Lee Sum Kit</t>
    <phoneticPr fontId="2" type="noConversion"/>
  </si>
  <si>
    <t>Mr. Lee Kit Wan</t>
    <phoneticPr fontId="2" type="noConversion"/>
  </si>
  <si>
    <t>Timetable</t>
    <phoneticPr fontId="2" type="noConversion"/>
  </si>
  <si>
    <t>0900</t>
    <phoneticPr fontId="2" type="noConversion"/>
  </si>
  <si>
    <t>1100</t>
    <phoneticPr fontId="2" type="noConversion"/>
  </si>
  <si>
    <t>1200</t>
    <phoneticPr fontId="2" type="noConversion"/>
  </si>
  <si>
    <t>1400</t>
    <phoneticPr fontId="2" type="noConversion"/>
  </si>
  <si>
    <t>1600</t>
    <phoneticPr fontId="2" type="noConversion"/>
  </si>
  <si>
    <t>Classroom</t>
    <phoneticPr fontId="2" type="noConversion"/>
  </si>
  <si>
    <t>Capacity</t>
    <phoneticPr fontId="2" type="noConversion"/>
  </si>
  <si>
    <t>Max</t>
    <phoneticPr fontId="2" type="noConversion"/>
  </si>
  <si>
    <t>Code</t>
    <phoneticPr fontId="2" type="noConversion"/>
  </si>
  <si>
    <t>Class Size</t>
    <phoneticPr fontId="2" type="noConversion"/>
  </si>
  <si>
    <t>Subject</t>
    <phoneticPr fontId="2" type="noConversion"/>
  </si>
  <si>
    <t>Lecturer</t>
    <phoneticPr fontId="2" type="noConversion"/>
  </si>
  <si>
    <t>DAE102_CS1</t>
    <phoneticPr fontId="2" type="noConversion"/>
  </si>
  <si>
    <t>DAE102_CS3</t>
    <phoneticPr fontId="2" type="noConversion"/>
  </si>
  <si>
    <t>DAE101_CS2</t>
    <phoneticPr fontId="2" type="noConversion"/>
  </si>
  <si>
    <t>DAE103_CS2</t>
    <phoneticPr fontId="2" type="noConversion"/>
  </si>
  <si>
    <t>DAE102_CS4</t>
    <phoneticPr fontId="2" type="noConversion"/>
  </si>
  <si>
    <t>8:30-10:30</t>
    <phoneticPr fontId="2" type="noConversion"/>
  </si>
  <si>
    <t>1030-12:30</t>
    <phoneticPr fontId="2" type="noConversion"/>
  </si>
  <si>
    <t>DAE256_D</t>
    <phoneticPr fontId="2" type="noConversion"/>
  </si>
  <si>
    <t>香港警隊實務</t>
  </si>
  <si>
    <t>DAE102_CS5</t>
    <phoneticPr fontId="2" type="noConversion"/>
  </si>
  <si>
    <t>DAE101_WT1</t>
    <phoneticPr fontId="2" type="noConversion"/>
  </si>
  <si>
    <t>DAE101_WT2</t>
    <phoneticPr fontId="2" type="noConversion"/>
  </si>
  <si>
    <t>DAE102_KT1</t>
    <phoneticPr fontId="2" type="noConversion"/>
  </si>
  <si>
    <t>DAE103_KT1</t>
    <phoneticPr fontId="2" type="noConversion"/>
  </si>
  <si>
    <t>DAE103_KT3</t>
    <phoneticPr fontId="2" type="noConversion"/>
  </si>
  <si>
    <t>DAE103_KT2</t>
    <phoneticPr fontId="2" type="noConversion"/>
  </si>
  <si>
    <t>DAE102_KT2</t>
    <phoneticPr fontId="2" type="noConversion"/>
  </si>
  <si>
    <t>DAE106_TK1</t>
    <phoneticPr fontId="2" type="noConversion"/>
  </si>
  <si>
    <t>DAE103_TK1</t>
    <phoneticPr fontId="2" type="noConversion"/>
  </si>
  <si>
    <t>DAE101_TS1</t>
    <phoneticPr fontId="2" type="noConversion"/>
  </si>
  <si>
    <t>DAE101_TS2</t>
    <phoneticPr fontId="2" type="noConversion"/>
  </si>
  <si>
    <t>TM - TM3</t>
    <phoneticPr fontId="2" type="noConversion"/>
  </si>
  <si>
    <t>DAE102_TM1</t>
    <phoneticPr fontId="2" type="noConversion"/>
  </si>
  <si>
    <t>DAE106_TM1</t>
    <phoneticPr fontId="2" type="noConversion"/>
  </si>
  <si>
    <t>TM - TM2</t>
    <phoneticPr fontId="2" type="noConversion"/>
  </si>
  <si>
    <t>DAE106_TM2</t>
    <phoneticPr fontId="2" type="noConversion"/>
  </si>
  <si>
    <t>DAE106_TS3</t>
    <phoneticPr fontId="2" type="noConversion"/>
  </si>
  <si>
    <t>DAE102_TM2</t>
    <phoneticPr fontId="2" type="noConversion"/>
  </si>
  <si>
    <t>DAE106_TS4</t>
    <phoneticPr fontId="2" type="noConversion"/>
  </si>
  <si>
    <t>DAE102_TW1</t>
    <phoneticPr fontId="2" type="noConversion"/>
  </si>
  <si>
    <t>DAE101_TW1</t>
    <phoneticPr fontId="2" type="noConversion"/>
  </si>
  <si>
    <t>DAE101_TW2</t>
    <phoneticPr fontId="2" type="noConversion"/>
  </si>
  <si>
    <t>DAE102_TW2</t>
    <phoneticPr fontId="2" type="noConversion"/>
  </si>
  <si>
    <t>DAE101_SW1</t>
    <phoneticPr fontId="2" type="noConversion"/>
  </si>
  <si>
    <t>DAE103_SW1</t>
    <phoneticPr fontId="2" type="noConversion"/>
  </si>
  <si>
    <t>DAE106_FL2</t>
    <phoneticPr fontId="2" type="noConversion"/>
  </si>
  <si>
    <t>DAE101_ST3</t>
    <phoneticPr fontId="2" type="noConversion"/>
  </si>
  <si>
    <t>DAE106_FL3</t>
    <phoneticPr fontId="2" type="noConversion"/>
  </si>
  <si>
    <t>DAE103_FL2</t>
    <phoneticPr fontId="2" type="noConversion"/>
  </si>
  <si>
    <t>DAE101_ST1</t>
    <phoneticPr fontId="2" type="noConversion"/>
  </si>
  <si>
    <t>DAE106_ST2</t>
    <phoneticPr fontId="2" type="noConversion"/>
  </si>
  <si>
    <t>DAE101_FL1</t>
    <phoneticPr fontId="2" type="noConversion"/>
  </si>
  <si>
    <t>DAE103_FL1</t>
    <phoneticPr fontId="2" type="noConversion"/>
  </si>
  <si>
    <t>DAE103_FL3</t>
    <phoneticPr fontId="2" type="noConversion"/>
  </si>
  <si>
    <t>Monday</t>
    <phoneticPr fontId="2" type="noConversion"/>
  </si>
  <si>
    <t>Chinese</t>
    <phoneticPr fontId="2" type="noConversion"/>
  </si>
  <si>
    <t>Mr. Man Li</t>
    <phoneticPr fontId="18" type="noConversion"/>
  </si>
  <si>
    <t>CLP</t>
    <phoneticPr fontId="2" type="noConversion"/>
  </si>
  <si>
    <t>DC</t>
    <phoneticPr fontId="2" type="noConversion"/>
  </si>
  <si>
    <t>Mr. Walter Chan</t>
    <phoneticPr fontId="2" type="noConversion"/>
  </si>
  <si>
    <t>DC/CLP</t>
    <phoneticPr fontId="2" type="noConversion"/>
  </si>
  <si>
    <t>Mr. Lai Ka Ho</t>
    <phoneticPr fontId="2" type="noConversion"/>
  </si>
  <si>
    <t>English</t>
    <phoneticPr fontId="2" type="noConversion"/>
  </si>
  <si>
    <t>Mr. Charles Tsui</t>
  </si>
  <si>
    <t>Mr. Chris Hon</t>
    <phoneticPr fontId="18" type="noConversion"/>
  </si>
  <si>
    <t>Ms. Cherry Ip</t>
    <phoneticPr fontId="18" type="noConversion"/>
  </si>
  <si>
    <t>Ms. Lee Kit Wan</t>
    <phoneticPr fontId="18" type="noConversion"/>
  </si>
  <si>
    <t>Maths</t>
    <phoneticPr fontId="2" type="noConversion"/>
  </si>
  <si>
    <t>DAE101_CS4</t>
    <phoneticPr fontId="2" type="noConversion"/>
  </si>
  <si>
    <t>DAE106_CS4</t>
    <phoneticPr fontId="2" type="noConversion"/>
  </si>
  <si>
    <t>DAE103_CS3</t>
    <phoneticPr fontId="2" type="noConversion"/>
  </si>
  <si>
    <t>1000 - 1200</t>
    <phoneticPr fontId="2" type="noConversion"/>
  </si>
  <si>
    <t>DAE106_CS3</t>
    <phoneticPr fontId="2" type="noConversion"/>
  </si>
  <si>
    <t>1300-1500</t>
    <phoneticPr fontId="2" type="noConversion"/>
  </si>
  <si>
    <t>1500-1700</t>
    <phoneticPr fontId="2" type="noConversion"/>
  </si>
  <si>
    <t>DAE106_CS5</t>
    <phoneticPr fontId="2" type="noConversion"/>
  </si>
  <si>
    <t>DAE101_CS5</t>
    <phoneticPr fontId="2" type="noConversion"/>
  </si>
  <si>
    <t>DAE102_CS6</t>
    <phoneticPr fontId="2" type="noConversion"/>
  </si>
  <si>
    <t>DAE101_CS6</t>
    <phoneticPr fontId="2" type="noConversion"/>
  </si>
  <si>
    <t>DAE103_WT2</t>
    <phoneticPr fontId="2" type="noConversion"/>
  </si>
  <si>
    <t>DAE103_WT1</t>
    <phoneticPr fontId="2" type="noConversion"/>
  </si>
  <si>
    <t>DAE106_WT1</t>
    <phoneticPr fontId="2" type="noConversion"/>
  </si>
  <si>
    <t>DAE102_KT3</t>
    <phoneticPr fontId="2" type="noConversion"/>
  </si>
  <si>
    <t>DAE101_KT3</t>
    <phoneticPr fontId="2" type="noConversion"/>
  </si>
  <si>
    <t>DAE106_KT2</t>
    <phoneticPr fontId="2" type="noConversion"/>
  </si>
  <si>
    <t>DAE106_KT1</t>
    <phoneticPr fontId="2" type="noConversion"/>
  </si>
  <si>
    <t>DAE106_WT2</t>
    <phoneticPr fontId="2" type="noConversion"/>
  </si>
  <si>
    <t>1430 - 1630</t>
    <phoneticPr fontId="2" type="noConversion"/>
  </si>
  <si>
    <t>DAE101_TK1</t>
    <phoneticPr fontId="2" type="noConversion"/>
  </si>
  <si>
    <t>DAE102_TK1</t>
    <phoneticPr fontId="2" type="noConversion"/>
  </si>
  <si>
    <t>1700 - 1900</t>
    <phoneticPr fontId="2" type="noConversion"/>
  </si>
  <si>
    <t>DAE101_TS3</t>
    <phoneticPr fontId="2" type="noConversion"/>
  </si>
  <si>
    <t>DAE101_TS4</t>
    <phoneticPr fontId="2" type="noConversion"/>
  </si>
  <si>
    <t>DAE106_TS1</t>
    <phoneticPr fontId="2" type="noConversion"/>
  </si>
  <si>
    <t>DAE106_TS2</t>
    <phoneticPr fontId="2" type="noConversion"/>
  </si>
  <si>
    <t>DAE103_TM2</t>
    <phoneticPr fontId="2" type="noConversion"/>
  </si>
  <si>
    <t>DAE103_TM1</t>
    <phoneticPr fontId="2" type="noConversion"/>
  </si>
  <si>
    <t>DAE106_TW1</t>
    <phoneticPr fontId="2" type="noConversion"/>
  </si>
  <si>
    <t>DAE106_TW2</t>
    <phoneticPr fontId="2" type="noConversion"/>
  </si>
  <si>
    <t>DAE106_TW3</t>
    <phoneticPr fontId="2" type="noConversion"/>
  </si>
  <si>
    <t>DAE102_TW3</t>
    <phoneticPr fontId="2" type="noConversion"/>
  </si>
  <si>
    <t>DAE106_SW1</t>
    <phoneticPr fontId="2" type="noConversion"/>
  </si>
  <si>
    <t>DAE102_ST3</t>
    <phoneticPr fontId="2" type="noConversion"/>
  </si>
  <si>
    <t>DAE103_ST2</t>
    <phoneticPr fontId="2" type="noConversion"/>
  </si>
  <si>
    <t>DAE103_ST3</t>
    <phoneticPr fontId="2" type="noConversion"/>
  </si>
  <si>
    <t>DAE102_ST1</t>
    <phoneticPr fontId="2" type="noConversion"/>
  </si>
  <si>
    <t>DAE103_ST1</t>
    <phoneticPr fontId="2" type="noConversion"/>
  </si>
  <si>
    <t>SSP - 101</t>
    <phoneticPr fontId="2" type="noConversion"/>
  </si>
  <si>
    <t>DAE101_CS7</t>
    <phoneticPr fontId="2" type="noConversion"/>
  </si>
  <si>
    <t>DAE106_CS7</t>
    <phoneticPr fontId="2" type="noConversion"/>
  </si>
  <si>
    <t>DAE102_FL2</t>
    <phoneticPr fontId="2" type="noConversion"/>
  </si>
  <si>
    <t>DAE102_FL3</t>
    <phoneticPr fontId="2" type="noConversion"/>
  </si>
  <si>
    <t>Tuesday</t>
    <phoneticPr fontId="2" type="noConversion"/>
  </si>
  <si>
    <t>Ms. Lai Ka Man</t>
    <phoneticPr fontId="2" type="noConversion"/>
  </si>
  <si>
    <t>DAE103_CS7</t>
    <phoneticPr fontId="2" type="noConversion"/>
  </si>
  <si>
    <t>DAE106_CS6</t>
    <phoneticPr fontId="2" type="noConversion"/>
  </si>
  <si>
    <t>DAE102_CS2</t>
    <phoneticPr fontId="2" type="noConversion"/>
  </si>
  <si>
    <t>0830 - 1030</t>
    <phoneticPr fontId="2" type="noConversion"/>
  </si>
  <si>
    <t>1030 -1230</t>
    <phoneticPr fontId="2" type="noConversion"/>
  </si>
  <si>
    <t>DAE102_CS7</t>
    <phoneticPr fontId="2" type="noConversion"/>
  </si>
  <si>
    <t>DAE103_CS5</t>
    <phoneticPr fontId="2" type="noConversion"/>
  </si>
  <si>
    <t>DAE106_CS1</t>
    <phoneticPr fontId="2" type="noConversion"/>
  </si>
  <si>
    <t>DAE106_CS2</t>
    <phoneticPr fontId="2" type="noConversion"/>
  </si>
  <si>
    <t>DAE103_CS4</t>
    <phoneticPr fontId="2" type="noConversion"/>
  </si>
  <si>
    <t>DAE103_CS6</t>
    <phoneticPr fontId="2" type="noConversion"/>
  </si>
  <si>
    <t>DAE102_WT1</t>
    <phoneticPr fontId="2" type="noConversion"/>
  </si>
  <si>
    <t>DAE102_WT2</t>
    <phoneticPr fontId="2" type="noConversion"/>
  </si>
  <si>
    <t>DAE106_KT3</t>
    <phoneticPr fontId="2" type="noConversion"/>
  </si>
  <si>
    <t>DAE101_KT2</t>
    <phoneticPr fontId="2" type="noConversion"/>
  </si>
  <si>
    <t>DAE101_KT1</t>
    <phoneticPr fontId="2" type="noConversion"/>
  </si>
  <si>
    <t>DAE103_TS3</t>
    <phoneticPr fontId="2" type="noConversion"/>
  </si>
  <si>
    <t>DAE103_TS4</t>
    <phoneticPr fontId="2" type="noConversion"/>
  </si>
  <si>
    <t>DAE103_TS1</t>
    <phoneticPr fontId="2" type="noConversion"/>
  </si>
  <si>
    <t>DAE103_TS2</t>
    <phoneticPr fontId="2" type="noConversion"/>
  </si>
  <si>
    <t>DAE102_TM3</t>
    <phoneticPr fontId="2" type="noConversion"/>
  </si>
  <si>
    <t>DAE102_TM4</t>
    <phoneticPr fontId="2" type="noConversion"/>
  </si>
  <si>
    <t>DAE101_TM1</t>
    <phoneticPr fontId="2" type="noConversion"/>
  </si>
  <si>
    <t>DAE101_TM2</t>
    <phoneticPr fontId="2" type="noConversion"/>
  </si>
  <si>
    <t>DAE103_TW2</t>
    <phoneticPr fontId="2" type="noConversion"/>
  </si>
  <si>
    <t>DAE103_TW1</t>
    <phoneticPr fontId="2" type="noConversion"/>
  </si>
  <si>
    <t>DAE103_TW3</t>
    <phoneticPr fontId="2" type="noConversion"/>
  </si>
  <si>
    <t>DAE101_TW3</t>
    <phoneticPr fontId="2" type="noConversion"/>
  </si>
  <si>
    <t>DAE102_SW1</t>
    <phoneticPr fontId="2" type="noConversion"/>
  </si>
  <si>
    <t>DAE101_ST2</t>
    <phoneticPr fontId="2" type="noConversion"/>
  </si>
  <si>
    <t>DAE102_ST2</t>
    <phoneticPr fontId="2" type="noConversion"/>
  </si>
  <si>
    <t>DAE102_FL1</t>
    <phoneticPr fontId="2" type="noConversion"/>
  </si>
  <si>
    <t>,</t>
    <phoneticPr fontId="2" type="noConversion"/>
  </si>
  <si>
    <t>DAE106_ST1</t>
    <phoneticPr fontId="2" type="noConversion"/>
  </si>
  <si>
    <t>DAE106_ST3</t>
    <phoneticPr fontId="2" type="noConversion"/>
  </si>
  <si>
    <t>DAE101_FL3</t>
    <phoneticPr fontId="2" type="noConversion"/>
  </si>
  <si>
    <t>DAE101_FL2</t>
    <phoneticPr fontId="2" type="noConversion"/>
  </si>
  <si>
    <t>Thursday</t>
    <phoneticPr fontId="2" type="noConversion"/>
  </si>
  <si>
    <t/>
  </si>
  <si>
    <t>Class
 Size</t>
    <phoneticPr fontId="2" type="noConversion"/>
  </si>
  <si>
    <t>Class 
Size</t>
    <phoneticPr fontId="2" type="noConversion"/>
  </si>
  <si>
    <t>DAE233_A</t>
    <phoneticPr fontId="2" type="noConversion"/>
  </si>
  <si>
    <t>DAE204_B</t>
    <phoneticPr fontId="2" type="noConversion"/>
  </si>
  <si>
    <t>DAE232</t>
    <phoneticPr fontId="2" type="noConversion"/>
  </si>
  <si>
    <t>DAE201_A</t>
    <phoneticPr fontId="2" type="noConversion"/>
  </si>
  <si>
    <t>DAE256_E</t>
    <phoneticPr fontId="2" type="noConversion"/>
  </si>
  <si>
    <t>DAE256_F</t>
    <phoneticPr fontId="2" type="noConversion"/>
  </si>
  <si>
    <t>1301 - 1500</t>
  </si>
  <si>
    <t>DAE204_A</t>
    <phoneticPr fontId="2" type="noConversion"/>
  </si>
  <si>
    <t>DAE217</t>
    <phoneticPr fontId="2" type="noConversion"/>
  </si>
  <si>
    <t>DAE227</t>
    <phoneticPr fontId="2" type="noConversion"/>
  </si>
  <si>
    <t>DAE214</t>
    <phoneticPr fontId="2" type="noConversion"/>
  </si>
  <si>
    <t>DAE248</t>
    <phoneticPr fontId="2" type="noConversion"/>
  </si>
  <si>
    <t>DAE101_CS1</t>
    <phoneticPr fontId="2" type="noConversion"/>
  </si>
  <si>
    <t>DAE257</t>
    <phoneticPr fontId="2" type="noConversion"/>
  </si>
  <si>
    <t>DAE265</t>
    <phoneticPr fontId="2" type="noConversion"/>
  </si>
  <si>
    <t>DAE230</t>
    <phoneticPr fontId="2" type="noConversion"/>
  </si>
  <si>
    <t>DAE254</t>
    <phoneticPr fontId="2" type="noConversion"/>
  </si>
  <si>
    <t>DAE243_D</t>
    <phoneticPr fontId="2" type="noConversion"/>
  </si>
  <si>
    <t>DAE243_B</t>
    <phoneticPr fontId="2" type="noConversion"/>
  </si>
  <si>
    <t>DAE243_C</t>
    <phoneticPr fontId="2" type="noConversion"/>
  </si>
  <si>
    <t>HD</t>
    <phoneticPr fontId="2" type="noConversion"/>
  </si>
  <si>
    <t>DAE243_A</t>
    <phoneticPr fontId="2" type="noConversion"/>
  </si>
  <si>
    <t>DAE201_B</t>
    <phoneticPr fontId="2" type="noConversion"/>
  </si>
  <si>
    <t>DAE208</t>
    <phoneticPr fontId="2" type="noConversion"/>
  </si>
  <si>
    <t>DAE202_A</t>
    <phoneticPr fontId="2" type="noConversion"/>
  </si>
  <si>
    <t>DAE202_B</t>
    <phoneticPr fontId="2" type="noConversion"/>
  </si>
  <si>
    <t>DAE256_G</t>
    <phoneticPr fontId="2" type="noConversion"/>
  </si>
  <si>
    <t>DAE256_I</t>
    <phoneticPr fontId="2" type="noConversion"/>
  </si>
  <si>
    <t>DAE256_H</t>
    <phoneticPr fontId="2" type="noConversion"/>
  </si>
  <si>
    <t>DAE256_J</t>
    <phoneticPr fontId="2" type="noConversion"/>
  </si>
  <si>
    <t>DAE101_CS3</t>
    <phoneticPr fontId="2" type="noConversion"/>
  </si>
  <si>
    <t>DAE225</t>
    <phoneticPr fontId="2" type="noConversion"/>
  </si>
  <si>
    <t>DAE209</t>
    <phoneticPr fontId="2" type="noConversion"/>
  </si>
  <si>
    <t>DAE229_A</t>
    <phoneticPr fontId="2" type="noConversion"/>
  </si>
  <si>
    <t>DAE207</t>
    <phoneticPr fontId="2" type="noConversion"/>
  </si>
  <si>
    <t>DAE247</t>
    <phoneticPr fontId="2" type="noConversion"/>
  </si>
  <si>
    <t>DAE266</t>
    <phoneticPr fontId="2" type="noConversion"/>
  </si>
  <si>
    <t>DAE212</t>
    <phoneticPr fontId="2" type="noConversion"/>
  </si>
  <si>
    <t>DAE205</t>
    <phoneticPr fontId="2" type="noConversion"/>
  </si>
  <si>
    <t>DAE251</t>
    <phoneticPr fontId="2" type="noConversion"/>
  </si>
  <si>
    <t>DAE236</t>
    <phoneticPr fontId="2" type="noConversion"/>
  </si>
  <si>
    <t>HC409</t>
    <phoneticPr fontId="2" type="noConversion"/>
  </si>
  <si>
    <t>DAE229_B</t>
    <phoneticPr fontId="2" type="noConversion"/>
  </si>
  <si>
    <t>DAE219</t>
    <phoneticPr fontId="2" type="noConversion"/>
  </si>
  <si>
    <t>基礎工程導論</t>
  </si>
  <si>
    <t>Mr. Wong Fun Bor</t>
  </si>
  <si>
    <t>DAE233_A</t>
  </si>
  <si>
    <t>入境事務及入職面試技巧</t>
  </si>
  <si>
    <t>Ms. Shirley Liu</t>
  </si>
  <si>
    <t>DAE204_B</t>
  </si>
  <si>
    <t>中藥學概論</t>
  </si>
  <si>
    <t>Mr. Wong Ping Tim</t>
  </si>
  <si>
    <t>DAE232</t>
  </si>
  <si>
    <t>消防員/ 救護員實務及入職面試技巧</t>
  </si>
  <si>
    <t>Mr. Keith Kwok</t>
  </si>
  <si>
    <t>DAE201_A</t>
  </si>
  <si>
    <t>DAE256_E</t>
  </si>
  <si>
    <t>DAE256_F</t>
  </si>
  <si>
    <t>DAE204_A</t>
  </si>
  <si>
    <t>公共關係及宣傳</t>
  </si>
  <si>
    <t>DAE217</t>
  </si>
  <si>
    <t>公共關係及宣傳 (公共機構)</t>
  </si>
  <si>
    <t>DAE227</t>
  </si>
  <si>
    <t>屋宇設備介紹</t>
  </si>
  <si>
    <t>Mr. Jordan Cheung</t>
  </si>
  <si>
    <t>DAE214</t>
  </si>
  <si>
    <t>日本旅遊業導論</t>
  </si>
  <si>
    <t>DAE248</t>
  </si>
  <si>
    <t>幼兒教育全面觀</t>
  </si>
  <si>
    <t>DAE257</t>
  </si>
  <si>
    <t>基礎心理學</t>
  </si>
  <si>
    <t>DAE265</t>
  </si>
  <si>
    <t>食物及環境衛生管理導論</t>
  </si>
  <si>
    <t>DAE230</t>
  </si>
  <si>
    <t>商業音樂</t>
  </si>
  <si>
    <t>Mr. Yukio Cheung</t>
  </si>
  <si>
    <t>DAE254</t>
  </si>
  <si>
    <t>職業安全健康</t>
  </si>
  <si>
    <t>Mr. John Yan</t>
  </si>
  <si>
    <t>DAE243_D</t>
  </si>
  <si>
    <t>DAE243_B</t>
  </si>
  <si>
    <t>DAE243_C</t>
  </si>
  <si>
    <t>DAE243_A</t>
  </si>
  <si>
    <t>Mr. Jay Chan</t>
  </si>
  <si>
    <t>DAE201_B</t>
  </si>
  <si>
    <t>公務員文職架構及工作</t>
  </si>
  <si>
    <t>Mr. William Tam &amp; Mr. Alan Ho</t>
  </si>
  <si>
    <t>DAE208</t>
  </si>
  <si>
    <t>海關實務及入職面試技巧</t>
  </si>
  <si>
    <t>Mr. Herbert Tse</t>
  </si>
  <si>
    <t>DAE202_A</t>
  </si>
  <si>
    <t>DAE202_B</t>
  </si>
  <si>
    <t>DAE256_G</t>
  </si>
  <si>
    <t>DAE256_I</t>
  </si>
  <si>
    <t>DAE256_H</t>
  </si>
  <si>
    <t>DAE256_J</t>
  </si>
  <si>
    <t>機電工程職安健</t>
  </si>
  <si>
    <t>DAE225</t>
  </si>
  <si>
    <t>懲教實務及入職面試技巧</t>
  </si>
  <si>
    <t>Mr. Lam Kang Kwong</t>
  </si>
  <si>
    <t>DAE209</t>
  </si>
  <si>
    <t>健康生活方式</t>
  </si>
  <si>
    <t>Ms. Charlotte Chan</t>
  </si>
  <si>
    <t>DAE229_A</t>
  </si>
  <si>
    <t>基礎電腦科學</t>
  </si>
  <si>
    <t>DAE207</t>
  </si>
  <si>
    <t>HD</t>
  </si>
  <si>
    <t>廚藝職安健</t>
  </si>
  <si>
    <t>Ms. Ann Yuen</t>
  </si>
  <si>
    <t>DAE247</t>
  </si>
  <si>
    <t>社會服務活動統籌</t>
  </si>
  <si>
    <t>DAE266</t>
  </si>
  <si>
    <t>日語導論</t>
  </si>
  <si>
    <t>DAE212</t>
  </si>
  <si>
    <t>基礎物理治療</t>
  </si>
  <si>
    <t>Mr. Philip Chan</t>
  </si>
  <si>
    <t>DAE205</t>
  </si>
  <si>
    <t>旅遊市場學導論</t>
  </si>
  <si>
    <t>DAE251</t>
  </si>
  <si>
    <t>市場學導論</t>
  </si>
  <si>
    <t>DAE236</t>
  </si>
  <si>
    <t>DAE229_B</t>
  </si>
  <si>
    <t>基礎樂理及音樂導賞</t>
  </si>
  <si>
    <t>DAE219</t>
  </si>
  <si>
    <t>Classroom Code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</si>
</sst>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0"/>
      <color rgb="FF4472C4"/>
      <name val="Arial"/>
      <family val="2"/>
    </font>
    <font>
      <sz val="11"/>
      <color rgb="FF4472C4"/>
      <name val="Calibri"/>
      <family val="2"/>
    </font>
    <font>
      <sz val="10"/>
      <color rgb="FF000000"/>
      <name val="Arial"/>
      <family val="2"/>
    </font>
    <font>
      <sz val="11"/>
      <color rgb="FF000000"/>
      <name val="Microsoft JhengHei"/>
      <family val="2"/>
      <charset val="136"/>
    </font>
    <font>
      <sz val="11"/>
      <color theme="1"/>
      <name val="新細明體"/>
      <family val="2"/>
      <scheme val="minor"/>
    </font>
    <font>
      <sz val="12"/>
      <color theme="1"/>
      <name val="新細明體"/>
      <scheme val="minor"/>
    </font>
    <font>
      <sz val="12"/>
      <color theme="1"/>
      <name val="新細明體"/>
      <family val="1"/>
      <scheme val="minor"/>
    </font>
    <font>
      <b/>
      <sz val="9"/>
      <color rgb="FF000000"/>
      <name val="Calibri"/>
      <family val="2"/>
    </font>
    <font>
      <b/>
      <sz val="12"/>
      <color theme="1"/>
      <name val="新細明體"/>
      <scheme val="minor"/>
    </font>
    <font>
      <b/>
      <sz val="12"/>
      <color rgb="FFFF0000"/>
      <name val="新細明體"/>
      <family val="1"/>
      <scheme val="minor"/>
    </font>
    <font>
      <b/>
      <sz val="12"/>
      <color rgb="FFFF0000"/>
      <name val="新細明體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sz val="9"/>
      <name val="新細明體"/>
      <family val="1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name val="MingLiU"/>
      <family val="2"/>
      <charset val="136"/>
    </font>
    <font>
      <sz val="10"/>
      <color rgb="FFFF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3">
    <xf numFmtId="0" fontId="0" fillId="0" borderId="0" xfId="0">
      <alignment vertic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wrapText="1"/>
    </xf>
    <xf numFmtId="0" fontId="6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9" fillId="0" borderId="1" xfId="0" applyFont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10" fillId="0" borderId="1" xfId="0" applyFont="1" applyBorder="1">
      <alignment vertical="center"/>
    </xf>
    <xf numFmtId="0" fontId="11" fillId="0" borderId="1" xfId="0" applyFont="1" applyBorder="1">
      <alignment vertical="center"/>
    </xf>
    <xf numFmtId="0" fontId="10" fillId="5" borderId="1" xfId="0" applyFont="1" applyFill="1" applyBorder="1">
      <alignment vertical="center"/>
    </xf>
    <xf numFmtId="0" fontId="0" fillId="0" borderId="1" xfId="0" applyFill="1" applyBorder="1">
      <alignment vertical="center"/>
    </xf>
    <xf numFmtId="0" fontId="10" fillId="0" borderId="1" xfId="0" applyFont="1" applyFill="1" applyBorder="1">
      <alignment vertical="center"/>
    </xf>
    <xf numFmtId="0" fontId="0" fillId="0" borderId="0" xfId="0" applyFill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6" fillId="3" borderId="7" xfId="0" applyFont="1" applyFill="1" applyBorder="1" applyAlignment="1">
      <alignment horizontal="center"/>
    </xf>
    <xf numFmtId="0" fontId="16" fillId="3" borderId="8" xfId="0" applyFont="1" applyFill="1" applyBorder="1" applyAlignment="1">
      <alignment horizontal="center"/>
    </xf>
    <xf numFmtId="0" fontId="16" fillId="3" borderId="9" xfId="0" applyFont="1" applyFill="1" applyBorder="1" applyAlignment="1">
      <alignment horizontal="center"/>
    </xf>
    <xf numFmtId="0" fontId="16" fillId="3" borderId="10" xfId="0" applyFont="1" applyFill="1" applyBorder="1" applyAlignment="1">
      <alignment horizontal="center"/>
    </xf>
    <xf numFmtId="0" fontId="16" fillId="3" borderId="7" xfId="0" quotePrefix="1" applyFont="1" applyFill="1" applyBorder="1" applyAlignment="1">
      <alignment horizontal="center"/>
    </xf>
    <xf numFmtId="0" fontId="16" fillId="3" borderId="8" xfId="0" applyFont="1" applyFill="1" applyBorder="1" applyAlignment="1">
      <alignment horizontal="left"/>
    </xf>
    <xf numFmtId="0" fontId="16" fillId="3" borderId="11" xfId="0" applyFont="1" applyFill="1" applyBorder="1" applyAlignment="1">
      <alignment horizontal="center"/>
    </xf>
    <xf numFmtId="0" fontId="16" fillId="3" borderId="11" xfId="0" applyFont="1" applyFill="1" applyBorder="1" applyAlignment="1">
      <alignment horizontal="left"/>
    </xf>
    <xf numFmtId="0" fontId="16" fillId="3" borderId="9" xfId="0" quotePrefix="1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3" borderId="13" xfId="0" applyFont="1" applyFill="1" applyBorder="1" applyAlignment="1">
      <alignment horizontal="center"/>
    </xf>
    <xf numFmtId="0" fontId="16" fillId="3" borderId="11" xfId="0" quotePrefix="1" applyFont="1" applyFill="1" applyBorder="1" applyAlignment="1">
      <alignment horizontal="left"/>
    </xf>
    <xf numFmtId="0" fontId="1" fillId="3" borderId="11" xfId="0" applyFont="1" applyFill="1" applyBorder="1" applyAlignment="1">
      <alignment horizontal="left" vertical="center"/>
    </xf>
    <xf numFmtId="0" fontId="4" fillId="3" borderId="14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0" fontId="4" fillId="3" borderId="16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/>
    </xf>
    <xf numFmtId="0" fontId="4" fillId="3" borderId="18" xfId="0" applyFont="1" applyFill="1" applyBorder="1" applyAlignment="1">
      <alignment horizontal="center"/>
    </xf>
    <xf numFmtId="0" fontId="4" fillId="3" borderId="16" xfId="0" applyFont="1" applyFill="1" applyBorder="1" applyAlignment="1">
      <alignment horizontal="left"/>
    </xf>
    <xf numFmtId="0" fontId="16" fillId="3" borderId="14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17" fillId="0" borderId="16" xfId="0" applyFont="1" applyBorder="1" applyAlignment="1">
      <alignment horizontal="center"/>
    </xf>
    <xf numFmtId="0" fontId="4" fillId="0" borderId="16" xfId="0" applyFont="1" applyBorder="1" applyAlignment="1">
      <alignment horizontal="left"/>
    </xf>
    <xf numFmtId="0" fontId="4" fillId="0" borderId="7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4" fillId="4" borderId="14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17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6" borderId="14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left"/>
    </xf>
    <xf numFmtId="0" fontId="4" fillId="6" borderId="16" xfId="0" applyFont="1" applyFill="1" applyBorder="1" applyAlignment="1">
      <alignment horizontal="left"/>
    </xf>
    <xf numFmtId="0" fontId="4" fillId="7" borderId="15" xfId="0" applyFont="1" applyFill="1" applyBorder="1" applyAlignment="1"/>
    <xf numFmtId="0" fontId="4" fillId="7" borderId="14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17" fillId="7" borderId="1" xfId="0" applyFont="1" applyFill="1" applyBorder="1" applyAlignment="1">
      <alignment horizontal="left"/>
    </xf>
    <xf numFmtId="0" fontId="17" fillId="7" borderId="16" xfId="0" applyFont="1" applyFill="1" applyBorder="1" applyAlignment="1"/>
    <xf numFmtId="0" fontId="4" fillId="7" borderId="1" xfId="0" applyFont="1" applyFill="1" applyBorder="1" applyAlignment="1">
      <alignment horizontal="left"/>
    </xf>
    <xf numFmtId="0" fontId="4" fillId="7" borderId="16" xfId="0" applyFont="1" applyFill="1" applyBorder="1" applyAlignment="1">
      <alignment horizontal="left"/>
    </xf>
    <xf numFmtId="0" fontId="4" fillId="4" borderId="16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left"/>
    </xf>
    <xf numFmtId="0" fontId="4" fillId="4" borderId="15" xfId="0" applyFont="1" applyFill="1" applyBorder="1" applyAlignment="1">
      <alignment horizontal="center"/>
    </xf>
    <xf numFmtId="0" fontId="17" fillId="4" borderId="16" xfId="0" applyFont="1" applyFill="1" applyBorder="1" applyAlignment="1">
      <alignment horizontal="center"/>
    </xf>
    <xf numFmtId="0" fontId="4" fillId="4" borderId="15" xfId="0" applyFont="1" applyFill="1" applyBorder="1" applyAlignment="1"/>
    <xf numFmtId="0" fontId="4" fillId="4" borderId="16" xfId="0" applyFont="1" applyFill="1" applyBorder="1" applyAlignment="1"/>
    <xf numFmtId="0" fontId="4" fillId="4" borderId="19" xfId="0" applyFont="1" applyFill="1" applyBorder="1" applyAlignment="1">
      <alignment horizontal="center"/>
    </xf>
    <xf numFmtId="0" fontId="4" fillId="8" borderId="14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/>
    </xf>
    <xf numFmtId="0" fontId="4" fillId="8" borderId="16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left"/>
    </xf>
    <xf numFmtId="0" fontId="4" fillId="4" borderId="20" xfId="0" applyFont="1" applyFill="1" applyBorder="1" applyAlignment="1">
      <alignment horizontal="center"/>
    </xf>
    <xf numFmtId="0" fontId="4" fillId="9" borderId="16" xfId="0" applyFont="1" applyFill="1" applyBorder="1" applyAlignment="1">
      <alignment horizontal="center"/>
    </xf>
    <xf numFmtId="0" fontId="4" fillId="9" borderId="14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left"/>
    </xf>
    <xf numFmtId="0" fontId="4" fillId="9" borderId="16" xfId="0" applyFont="1" applyFill="1" applyBorder="1" applyAlignment="1">
      <alignment horizontal="left"/>
    </xf>
    <xf numFmtId="0" fontId="4" fillId="10" borderId="14" xfId="0" applyFont="1" applyFill="1" applyBorder="1" applyAlignment="1">
      <alignment horizontal="center"/>
    </xf>
    <xf numFmtId="0" fontId="17" fillId="9" borderId="1" xfId="0" applyFont="1" applyFill="1" applyBorder="1" applyAlignment="1">
      <alignment horizontal="left"/>
    </xf>
    <xf numFmtId="0" fontId="17" fillId="9" borderId="16" xfId="0" applyFont="1" applyFill="1" applyBorder="1" applyAlignment="1">
      <alignment horizontal="center"/>
    </xf>
    <xf numFmtId="0" fontId="4" fillId="7" borderId="16" xfId="0" applyFont="1" applyFill="1" applyBorder="1" applyAlignment="1">
      <alignment horizontal="center"/>
    </xf>
    <xf numFmtId="0" fontId="4" fillId="9" borderId="15" xfId="0" applyFont="1" applyFill="1" applyBorder="1" applyAlignment="1">
      <alignment horizontal="center"/>
    </xf>
    <xf numFmtId="0" fontId="4" fillId="8" borderId="15" xfId="0" applyFont="1" applyFill="1" applyBorder="1" applyAlignment="1">
      <alignment horizontal="center"/>
    </xf>
    <xf numFmtId="0" fontId="17" fillId="8" borderId="1" xfId="0" applyFont="1" applyFill="1" applyBorder="1" applyAlignment="1">
      <alignment horizontal="left"/>
    </xf>
    <xf numFmtId="0" fontId="4" fillId="11" borderId="16" xfId="0" applyFont="1" applyFill="1" applyBorder="1" applyAlignment="1">
      <alignment horizontal="center"/>
    </xf>
    <xf numFmtId="0" fontId="4" fillId="11" borderId="14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left"/>
    </xf>
    <xf numFmtId="0" fontId="4" fillId="11" borderId="16" xfId="0" applyFont="1" applyFill="1" applyBorder="1" applyAlignment="1">
      <alignment horizontal="left"/>
    </xf>
    <xf numFmtId="0" fontId="16" fillId="3" borderId="23" xfId="0" applyFont="1" applyFill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4" borderId="26" xfId="0" applyFont="1" applyFill="1" applyBorder="1" applyAlignment="1">
      <alignment horizontal="center"/>
    </xf>
    <xf numFmtId="0" fontId="4" fillId="4" borderId="23" xfId="0" applyFont="1" applyFill="1" applyBorder="1" applyAlignment="1">
      <alignment horizontal="center"/>
    </xf>
    <xf numFmtId="0" fontId="4" fillId="4" borderId="24" xfId="0" applyFont="1" applyFill="1" applyBorder="1" applyAlignment="1">
      <alignment horizontal="center"/>
    </xf>
    <xf numFmtId="0" fontId="4" fillId="4" borderId="24" xfId="0" applyFont="1" applyFill="1" applyBorder="1" applyAlignment="1">
      <alignment horizontal="left"/>
    </xf>
    <xf numFmtId="0" fontId="4" fillId="4" borderId="27" xfId="0" applyFont="1" applyFill="1" applyBorder="1" applyAlignment="1">
      <alignment horizontal="center"/>
    </xf>
    <xf numFmtId="0" fontId="4" fillId="0" borderId="24" xfId="0" applyFont="1" applyBorder="1" applyAlignment="1">
      <alignment horizontal="left"/>
    </xf>
    <xf numFmtId="0" fontId="4" fillId="4" borderId="27" xfId="0" applyFont="1" applyFill="1" applyBorder="1" applyAlignment="1">
      <alignment horizontal="left"/>
    </xf>
    <xf numFmtId="0" fontId="4" fillId="4" borderId="25" xfId="0" applyFont="1" applyFill="1" applyBorder="1" applyAlignment="1">
      <alignment horizontal="center"/>
    </xf>
    <xf numFmtId="0" fontId="16" fillId="3" borderId="3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4" fillId="0" borderId="30" xfId="0" applyFont="1" applyBorder="1" applyAlignment="1">
      <alignment horizontal="center"/>
    </xf>
    <xf numFmtId="0" fontId="4" fillId="0" borderId="30" xfId="0" applyFont="1" applyBorder="1" applyAlignment="1">
      <alignment horizontal="left"/>
    </xf>
    <xf numFmtId="0" fontId="4" fillId="7" borderId="28" xfId="0" applyFont="1" applyFill="1" applyBorder="1" applyAlignment="1">
      <alignment horizontal="center"/>
    </xf>
    <xf numFmtId="0" fontId="16" fillId="3" borderId="1" xfId="0" applyFont="1" applyFill="1" applyBorder="1" applyAlignment="1">
      <alignment horizontal="center"/>
    </xf>
    <xf numFmtId="0" fontId="4" fillId="11" borderId="4" xfId="0" applyFont="1" applyFill="1" applyBorder="1" applyAlignment="1">
      <alignment horizontal="center"/>
    </xf>
    <xf numFmtId="0" fontId="0" fillId="9" borderId="16" xfId="0" applyFill="1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4" fillId="0" borderId="26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4" fillId="0" borderId="27" xfId="0" applyFont="1" applyBorder="1" applyAlignment="1">
      <alignment horizontal="left"/>
    </xf>
    <xf numFmtId="0" fontId="4" fillId="9" borderId="23" xfId="0" applyFont="1" applyFill="1" applyBorder="1" applyAlignment="1">
      <alignment horizontal="center"/>
    </xf>
    <xf numFmtId="0" fontId="0" fillId="0" borderId="27" xfId="0" applyBorder="1" applyAlignment="1">
      <alignment horizontal="left" vertical="center"/>
    </xf>
    <xf numFmtId="0" fontId="16" fillId="3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11" fillId="0" borderId="0" xfId="0" applyFont="1">
      <alignment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16" fillId="3" borderId="31" xfId="0" quotePrefix="1" applyFont="1" applyFill="1" applyBorder="1" applyAlignment="1">
      <alignment horizontal="center"/>
    </xf>
    <xf numFmtId="0" fontId="16" fillId="3" borderId="12" xfId="0" quotePrefix="1" applyFont="1" applyFill="1" applyBorder="1" applyAlignment="1">
      <alignment horizontal="center"/>
    </xf>
    <xf numFmtId="0" fontId="16" fillId="3" borderId="13" xfId="0" quotePrefix="1" applyFont="1" applyFill="1" applyBorder="1" applyAlignment="1">
      <alignment horizontal="center"/>
    </xf>
    <xf numFmtId="0" fontId="16" fillId="3" borderId="8" xfId="0" applyFont="1" applyFill="1" applyBorder="1" applyAlignment="1"/>
    <xf numFmtId="0" fontId="4" fillId="3" borderId="6" xfId="0" applyFont="1" applyFill="1" applyBorder="1" applyAlignment="1">
      <alignment horizontal="center"/>
    </xf>
    <xf numFmtId="0" fontId="4" fillId="3" borderId="32" xfId="0" applyFont="1" applyFill="1" applyBorder="1" applyAlignment="1">
      <alignment horizontal="center"/>
    </xf>
    <xf numFmtId="0" fontId="4" fillId="3" borderId="20" xfId="0" applyFont="1" applyFill="1" applyBorder="1" applyAlignment="1">
      <alignment horizontal="center"/>
    </xf>
    <xf numFmtId="0" fontId="4" fillId="3" borderId="1" xfId="0" applyFont="1" applyFill="1" applyBorder="1" applyAlignment="1"/>
    <xf numFmtId="0" fontId="4" fillId="4" borderId="6" xfId="0" applyFont="1" applyFill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11" borderId="1" xfId="0" applyFont="1" applyFill="1" applyBorder="1" applyAlignment="1"/>
    <xf numFmtId="0" fontId="4" fillId="4" borderId="32" xfId="0" applyFont="1" applyFill="1" applyBorder="1" applyAlignment="1">
      <alignment horizontal="center"/>
    </xf>
    <xf numFmtId="0" fontId="4" fillId="4" borderId="16" xfId="0" applyFont="1" applyFill="1" applyBorder="1">
      <alignment vertical="center"/>
    </xf>
    <xf numFmtId="0" fontId="4" fillId="8" borderId="1" xfId="0" applyFont="1" applyFill="1" applyBorder="1" applyAlignment="1"/>
    <xf numFmtId="0" fontId="4" fillId="11" borderId="6" xfId="0" applyFont="1" applyFill="1" applyBorder="1" applyAlignment="1">
      <alignment horizontal="center"/>
    </xf>
    <xf numFmtId="0" fontId="4" fillId="4" borderId="1" xfId="0" applyFont="1" applyFill="1" applyBorder="1" applyAlignment="1"/>
    <xf numFmtId="0" fontId="4" fillId="0" borderId="6" xfId="0" applyFont="1" applyBorder="1" applyAlignment="1">
      <alignment horizontal="center"/>
    </xf>
    <xf numFmtId="0" fontId="4" fillId="4" borderId="33" xfId="0" applyFont="1" applyFill="1" applyBorder="1" applyAlignment="1">
      <alignment horizontal="center"/>
    </xf>
    <xf numFmtId="0" fontId="4" fillId="4" borderId="15" xfId="0" applyFont="1" applyFill="1" applyBorder="1">
      <alignment vertical="center"/>
    </xf>
    <xf numFmtId="0" fontId="4" fillId="9" borderId="1" xfId="0" applyFont="1" applyFill="1" applyBorder="1" applyAlignment="1"/>
    <xf numFmtId="0" fontId="4" fillId="12" borderId="6" xfId="0" applyFont="1" applyFill="1" applyBorder="1" applyAlignment="1">
      <alignment horizontal="center"/>
    </xf>
    <xf numFmtId="0" fontId="4" fillId="8" borderId="6" xfId="0" applyFont="1" applyFill="1" applyBorder="1" applyAlignment="1">
      <alignment horizontal="center"/>
    </xf>
    <xf numFmtId="0" fontId="0" fillId="4" borderId="34" xfId="0" applyFill="1" applyBorder="1">
      <alignment vertical="center"/>
    </xf>
    <xf numFmtId="0" fontId="4" fillId="4" borderId="35" xfId="0" applyFont="1" applyFill="1" applyBorder="1" applyAlignment="1">
      <alignment horizontal="center"/>
    </xf>
    <xf numFmtId="0" fontId="19" fillId="0" borderId="0" xfId="0" applyFont="1">
      <alignment vertical="center"/>
    </xf>
    <xf numFmtId="0" fontId="16" fillId="3" borderId="36" xfId="0" applyFont="1" applyFill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4" fillId="4" borderId="38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left"/>
    </xf>
    <xf numFmtId="0" fontId="4" fillId="4" borderId="36" xfId="0" applyFont="1" applyFill="1" applyBorder="1" applyAlignment="1">
      <alignment horizontal="center"/>
    </xf>
    <xf numFmtId="0" fontId="4" fillId="4" borderId="17" xfId="0" applyFont="1" applyFill="1" applyBorder="1" applyAlignment="1">
      <alignment horizontal="center"/>
    </xf>
    <xf numFmtId="0" fontId="4" fillId="4" borderId="33" xfId="0" applyFont="1" applyFill="1" applyBorder="1" applyAlignment="1"/>
    <xf numFmtId="0" fontId="4" fillId="4" borderId="39" xfId="0" applyFont="1" applyFill="1" applyBorder="1" applyAlignment="1">
      <alignment horizontal="center"/>
    </xf>
    <xf numFmtId="0" fontId="4" fillId="4" borderId="27" xfId="0" quotePrefix="1" applyFont="1" applyFill="1" applyBorder="1" applyAlignment="1">
      <alignment horizontal="center"/>
    </xf>
    <xf numFmtId="0" fontId="4" fillId="4" borderId="40" xfId="0" applyFont="1" applyFill="1" applyBorder="1" applyAlignment="1">
      <alignment horizontal="center"/>
    </xf>
    <xf numFmtId="0" fontId="4" fillId="4" borderId="24" xfId="0" applyFont="1" applyFill="1" applyBorder="1" applyAlignment="1"/>
    <xf numFmtId="0" fontId="4" fillId="0" borderId="41" xfId="0" applyFont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0" borderId="3" xfId="0" applyFont="1" applyBorder="1" applyAlignment="1"/>
    <xf numFmtId="0" fontId="4" fillId="0" borderId="1" xfId="0" applyFont="1" applyBorder="1" applyAlignment="1"/>
    <xf numFmtId="0" fontId="4" fillId="0" borderId="40" xfId="0" applyFont="1" applyBorder="1" applyAlignment="1">
      <alignment horizontal="center"/>
    </xf>
    <xf numFmtId="0" fontId="4" fillId="0" borderId="24" xfId="0" applyFont="1" applyBorder="1" applyAlignment="1"/>
    <xf numFmtId="0" fontId="4" fillId="0" borderId="0" xfId="0" applyFont="1" applyAlignment="1"/>
    <xf numFmtId="0" fontId="16" fillId="3" borderId="4" xfId="0" applyFont="1" applyFill="1" applyBorder="1" applyAlignment="1">
      <alignment horizontal="center"/>
    </xf>
    <xf numFmtId="0" fontId="16" fillId="3" borderId="11" xfId="0" quotePrefix="1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/>
    </xf>
    <xf numFmtId="0" fontId="4" fillId="4" borderId="10" xfId="0" applyFont="1" applyFill="1" applyBorder="1">
      <alignment vertical="center"/>
    </xf>
    <xf numFmtId="0" fontId="4" fillId="11" borderId="16" xfId="0" applyFont="1" applyFill="1" applyBorder="1">
      <alignment vertical="center"/>
    </xf>
    <xf numFmtId="0" fontId="4" fillId="11" borderId="3" xfId="0" applyFont="1" applyFill="1" applyBorder="1" applyAlignment="1">
      <alignment horizontal="center"/>
    </xf>
    <xf numFmtId="0" fontId="4" fillId="11" borderId="3" xfId="0" applyFont="1" applyFill="1" applyBorder="1" applyAlignment="1">
      <alignment horizontal="left"/>
    </xf>
    <xf numFmtId="0" fontId="4" fillId="11" borderId="30" xfId="0" applyFont="1" applyFill="1" applyBorder="1" applyAlignment="1">
      <alignment horizontal="center"/>
    </xf>
    <xf numFmtId="0" fontId="4" fillId="0" borderId="15" xfId="0" applyFont="1" applyBorder="1">
      <alignment vertical="center"/>
    </xf>
    <xf numFmtId="0" fontId="4" fillId="11" borderId="15" xfId="0" applyFont="1" applyFill="1" applyBorder="1">
      <alignment vertical="center"/>
    </xf>
    <xf numFmtId="0" fontId="4" fillId="0" borderId="14" xfId="0" applyFont="1" applyBorder="1" applyAlignment="1">
      <alignment horizontal="left"/>
    </xf>
    <xf numFmtId="0" fontId="4" fillId="11" borderId="15" xfId="0" applyFont="1" applyFill="1" applyBorder="1" applyAlignment="1">
      <alignment horizontal="center"/>
    </xf>
    <xf numFmtId="0" fontId="21" fillId="11" borderId="16" xfId="0" applyFont="1" applyFill="1" applyBorder="1" applyAlignment="1">
      <alignment horizontal="center"/>
    </xf>
    <xf numFmtId="0" fontId="4" fillId="10" borderId="6" xfId="0" applyFont="1" applyFill="1" applyBorder="1" applyAlignment="1">
      <alignment horizontal="center"/>
    </xf>
    <xf numFmtId="0" fontId="21" fillId="4" borderId="15" xfId="0" applyFont="1" applyFill="1" applyBorder="1" applyAlignment="1"/>
    <xf numFmtId="0" fontId="21" fillId="4" borderId="14" xfId="0" applyFont="1" applyFill="1" applyBorder="1" applyAlignment="1">
      <alignment horizontal="center"/>
    </xf>
    <xf numFmtId="0" fontId="21" fillId="4" borderId="16" xfId="0" applyFont="1" applyFill="1" applyBorder="1" applyAlignment="1">
      <alignment horizontal="center"/>
    </xf>
    <xf numFmtId="0" fontId="21" fillId="4" borderId="15" xfId="0" applyFont="1" applyFill="1" applyBorder="1" applyAlignment="1">
      <alignment horizontal="center"/>
    </xf>
    <xf numFmtId="0" fontId="21" fillId="4" borderId="36" xfId="0" applyFont="1" applyFill="1" applyBorder="1" applyAlignment="1">
      <alignment horizontal="center"/>
    </xf>
    <xf numFmtId="0" fontId="21" fillId="4" borderId="33" xfId="0" applyFont="1" applyFill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39" xfId="0" applyFont="1" applyBorder="1" applyAlignment="1">
      <alignment horizontal="center"/>
    </xf>
    <xf numFmtId="0" fontId="4" fillId="10" borderId="19" xfId="0" applyFont="1" applyFill="1" applyBorder="1" applyAlignment="1">
      <alignment horizontal="center"/>
    </xf>
    <xf numFmtId="0" fontId="4" fillId="10" borderId="21" xfId="0" applyFont="1" applyFill="1" applyBorder="1" applyAlignment="1">
      <alignment horizontal="center"/>
    </xf>
    <xf numFmtId="0" fontId="4" fillId="10" borderId="22" xfId="0" applyFont="1" applyFill="1" applyBorder="1" applyAlignment="1">
      <alignment horizontal="center"/>
    </xf>
    <xf numFmtId="0" fontId="4" fillId="12" borderId="19" xfId="0" applyFont="1" applyFill="1" applyBorder="1" applyAlignment="1">
      <alignment horizontal="center"/>
    </xf>
    <xf numFmtId="0" fontId="4" fillId="12" borderId="22" xfId="0" applyFont="1" applyFill="1" applyBorder="1" applyAlignment="1">
      <alignment horizontal="center"/>
    </xf>
    <xf numFmtId="0" fontId="4" fillId="10" borderId="33" xfId="0" applyFont="1" applyFill="1" applyBorder="1" applyAlignment="1">
      <alignment horizontal="center"/>
    </xf>
    <xf numFmtId="0" fontId="4" fillId="10" borderId="30" xfId="0" applyFont="1" applyFill="1" applyBorder="1" applyAlignment="1">
      <alignment horizontal="center"/>
    </xf>
    <xf numFmtId="0" fontId="16" fillId="3" borderId="1" xfId="0" quotePrefix="1" applyFont="1" applyFill="1" applyBorder="1" applyAlignment="1">
      <alignment horizontal="center"/>
    </xf>
    <xf numFmtId="0" fontId="16" fillId="3" borderId="1" xfId="0" applyFont="1" applyFill="1" applyBorder="1" applyAlignment="1">
      <alignment horizontal="left"/>
    </xf>
    <xf numFmtId="0" fontId="0" fillId="9" borderId="0" xfId="0" applyFill="1">
      <alignment vertical="center"/>
    </xf>
    <xf numFmtId="0" fontId="1" fillId="3" borderId="1" xfId="0" applyFont="1" applyFill="1" applyBorder="1">
      <alignment vertical="center"/>
    </xf>
    <xf numFmtId="0" fontId="4" fillId="3" borderId="1" xfId="0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1" fontId="4" fillId="13" borderId="1" xfId="0" applyNumberFormat="1" applyFont="1" applyFill="1" applyBorder="1" applyAlignment="1">
      <alignment horizontal="center"/>
    </xf>
    <xf numFmtId="0" fontId="4" fillId="13" borderId="1" xfId="0" applyFont="1" applyFill="1" applyBorder="1" applyAlignment="1">
      <alignment horizontal="left"/>
    </xf>
    <xf numFmtId="0" fontId="0" fillId="13" borderId="1" xfId="0" applyFill="1" applyBorder="1">
      <alignment vertical="center"/>
    </xf>
    <xf numFmtId="1" fontId="4" fillId="3" borderId="1" xfId="0" applyNumberFormat="1" applyFont="1" applyFill="1" applyBorder="1" applyAlignment="1">
      <alignment horizontal="center"/>
    </xf>
    <xf numFmtId="0" fontId="0" fillId="9" borderId="1" xfId="0" applyFill="1" applyBorder="1">
      <alignment vertical="center"/>
    </xf>
    <xf numFmtId="0" fontId="4" fillId="14" borderId="1" xfId="0" applyFont="1" applyFill="1" applyBorder="1" applyAlignment="1">
      <alignment horizontal="center"/>
    </xf>
    <xf numFmtId="1" fontId="4" fillId="14" borderId="1" xfId="0" applyNumberFormat="1" applyFont="1" applyFill="1" applyBorder="1" applyAlignment="1">
      <alignment horizontal="center"/>
    </xf>
    <xf numFmtId="0" fontId="4" fillId="14" borderId="1" xfId="0" applyFont="1" applyFill="1" applyBorder="1" applyAlignment="1">
      <alignment horizontal="left"/>
    </xf>
    <xf numFmtId="0" fontId="0" fillId="14" borderId="0" xfId="0" applyFill="1">
      <alignment vertical="center"/>
    </xf>
    <xf numFmtId="0" fontId="0" fillId="14" borderId="1" xfId="0" applyFill="1" applyBorder="1">
      <alignment vertical="center"/>
    </xf>
    <xf numFmtId="0" fontId="4" fillId="10" borderId="1" xfId="0" applyFont="1" applyFill="1" applyBorder="1" applyAlignment="1">
      <alignment horizontal="center"/>
    </xf>
    <xf numFmtId="1" fontId="4" fillId="10" borderId="1" xfId="0" applyNumberFormat="1" applyFont="1" applyFill="1" applyBorder="1" applyAlignment="1">
      <alignment horizontal="center"/>
    </xf>
    <xf numFmtId="0" fontId="20" fillId="10" borderId="1" xfId="0" applyFont="1" applyFill="1" applyBorder="1" applyAlignment="1">
      <alignment horizontal="left"/>
    </xf>
    <xf numFmtId="0" fontId="0" fillId="4" borderId="0" xfId="0" applyFill="1">
      <alignment vertical="center"/>
    </xf>
    <xf numFmtId="0" fontId="17" fillId="14" borderId="1" xfId="0" applyFont="1" applyFill="1" applyBorder="1" applyAlignment="1">
      <alignment horizontal="center"/>
    </xf>
    <xf numFmtId="1" fontId="17" fillId="14" borderId="1" xfId="0" applyNumberFormat="1" applyFont="1" applyFill="1" applyBorder="1" applyAlignment="1">
      <alignment horizontal="center"/>
    </xf>
    <xf numFmtId="0" fontId="17" fillId="14" borderId="1" xfId="0" applyFont="1" applyFill="1" applyBorder="1" applyAlignment="1">
      <alignment horizontal="left"/>
    </xf>
    <xf numFmtId="1" fontId="4" fillId="9" borderId="1" xfId="0" applyNumberFormat="1" applyFont="1" applyFill="1" applyBorder="1" applyAlignment="1">
      <alignment horizontal="center"/>
    </xf>
    <xf numFmtId="1" fontId="4" fillId="4" borderId="1" xfId="0" applyNumberFormat="1" applyFont="1" applyFill="1" applyBorder="1" applyAlignment="1">
      <alignment horizontal="center"/>
    </xf>
    <xf numFmtId="0" fontId="4" fillId="15" borderId="1" xfId="0" applyFont="1" applyFill="1" applyBorder="1" applyAlignment="1">
      <alignment horizontal="center"/>
    </xf>
    <xf numFmtId="1" fontId="4" fillId="15" borderId="1" xfId="0" applyNumberFormat="1" applyFont="1" applyFill="1" applyBorder="1" applyAlignment="1">
      <alignment horizontal="center"/>
    </xf>
    <xf numFmtId="0" fontId="20" fillId="15" borderId="1" xfId="0" applyFont="1" applyFill="1" applyBorder="1" applyAlignment="1">
      <alignment horizontal="left"/>
    </xf>
    <xf numFmtId="0" fontId="20" fillId="4" borderId="1" xfId="0" applyFont="1" applyFill="1" applyBorder="1" applyAlignment="1">
      <alignment horizontal="left"/>
    </xf>
    <xf numFmtId="0" fontId="4" fillId="16" borderId="1" xfId="0" applyFont="1" applyFill="1" applyBorder="1" applyAlignment="1">
      <alignment horizontal="center"/>
    </xf>
    <xf numFmtId="1" fontId="4" fillId="16" borderId="1" xfId="0" applyNumberFormat="1" applyFont="1" applyFill="1" applyBorder="1" applyAlignment="1">
      <alignment horizontal="center"/>
    </xf>
    <xf numFmtId="0" fontId="4" fillId="16" borderId="1" xfId="0" applyFont="1" applyFill="1" applyBorder="1" applyAlignment="1">
      <alignment horizontal="left"/>
    </xf>
    <xf numFmtId="0" fontId="0" fillId="16" borderId="1" xfId="0" applyFill="1" applyBorder="1">
      <alignment vertical="center"/>
    </xf>
    <xf numFmtId="0" fontId="4" fillId="17" borderId="1" xfId="0" applyFont="1" applyFill="1" applyBorder="1" applyAlignment="1">
      <alignment horizontal="center"/>
    </xf>
    <xf numFmtId="1" fontId="4" fillId="17" borderId="1" xfId="0" applyNumberFormat="1" applyFont="1" applyFill="1" applyBorder="1" applyAlignment="1">
      <alignment horizontal="center"/>
    </xf>
    <xf numFmtId="0" fontId="4" fillId="17" borderId="1" xfId="0" applyFont="1" applyFill="1" applyBorder="1" applyAlignment="1">
      <alignment horizontal="left"/>
    </xf>
    <xf numFmtId="0" fontId="0" fillId="17" borderId="1" xfId="0" applyFill="1" applyBorder="1">
      <alignment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13"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FF0000"/>
      </font>
    </dxf>
    <dxf>
      <font>
        <color theme="5" tint="-0.24994659260841701"/>
      </font>
    </dxf>
    <dxf>
      <font>
        <color theme="5" tint="-0.24994659260841701"/>
      </font>
    </dxf>
    <dxf>
      <font>
        <color theme="5" tint="-0.24994659260841701"/>
      </font>
    </dxf>
    <dxf>
      <font>
        <color theme="5" tint="-0.24994659260841701"/>
      </font>
    </dxf>
    <dxf>
      <font>
        <color theme="5" tint="-0.2499465926084170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esktop/Timetable2020/T2025C/T2025C_WeeklyTimetable_V6.xlsx" TargetMode="External"/><Relationship Id="rId2" Type="http://schemas.openxmlformats.org/officeDocument/2006/relationships/externalLinkPath" Target="file:///C:\Users\Jo%20Hugh\Desktop\Timetable2020\T2025C\T2025C_WeeklyTimetable_V6.xlsx" TargetMode="External"/><Relationship Id="rId1" Type="http://schemas.openxmlformats.org/officeDocument/2006/relationships/externalLinkPath" Target="/Users/Jo%20Hugh/Desktop/Timetable2020/T2025C/T2025C_WeeklyTimetable_V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pproved 20EC"/>
      <sheetName val="Travel"/>
      <sheetName val="ClassTeacher"/>
      <sheetName val="Mon(Term1) "/>
      <sheetName val="Mon(Term2)"/>
      <sheetName val="Tue(Term1)"/>
      <sheetName val="Tue(Term2)"/>
      <sheetName val="Wed(Term1)"/>
      <sheetName val="Wed(Term2)"/>
      <sheetName val="Thu(Term1)"/>
      <sheetName val="工作表1"/>
      <sheetName val="Thu(Term2)"/>
      <sheetName val="Fri(Term1)"/>
      <sheetName val="Fri(Term2)"/>
      <sheetName val="Sat(Term1)"/>
      <sheetName val="SummaryLoading"/>
      <sheetName val="ClassCode"/>
      <sheetName val="Classes"/>
      <sheetName val="RawCombo"/>
      <sheetName val="ExtractData"/>
      <sheetName val="CCList"/>
      <sheetName val="Evaluation"/>
      <sheetName val="Calendar"/>
    </sheetNames>
    <sheetDataSet>
      <sheetData sheetId="0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>
        <row r="1">
          <cell r="B1" t="str">
            <v>Subject Code</v>
          </cell>
          <cell r="C1" t="str">
            <v>Subject Name (English)</v>
          </cell>
          <cell r="D1" t="str">
            <v>Subject Name (Chinese)</v>
          </cell>
          <cell r="E1" t="str">
            <v>Lecturer 1</v>
          </cell>
          <cell r="I1" t="str">
            <v>Student No</v>
          </cell>
        </row>
        <row r="2">
          <cell r="B2" t="str">
            <v>DAE101_CS1</v>
          </cell>
          <cell r="C2" t="str">
            <v>Chinese Language</v>
          </cell>
          <cell r="D2" t="str">
            <v>中國語文</v>
          </cell>
          <cell r="E2" t="str">
            <v>Mr. Chris Chau</v>
          </cell>
          <cell r="I2">
            <v>35</v>
          </cell>
        </row>
        <row r="3">
          <cell r="B3" t="str">
            <v>DAE101_CS2</v>
          </cell>
          <cell r="C3" t="str">
            <v>Chinese Language</v>
          </cell>
          <cell r="D3" t="str">
            <v>中國語文</v>
          </cell>
          <cell r="E3" t="str">
            <v>Mr. Chris Chau</v>
          </cell>
          <cell r="I3">
            <v>34</v>
          </cell>
        </row>
        <row r="4">
          <cell r="B4" t="str">
            <v>DAE101_CS3</v>
          </cell>
          <cell r="C4" t="str">
            <v>Chinese Language</v>
          </cell>
          <cell r="D4" t="str">
            <v>中國語文</v>
          </cell>
          <cell r="E4" t="str">
            <v>Mr. Man Li</v>
          </cell>
          <cell r="I4">
            <v>35</v>
          </cell>
        </row>
        <row r="5">
          <cell r="B5" t="str">
            <v>DAE101_CS4</v>
          </cell>
          <cell r="C5" t="str">
            <v>Chinese Language</v>
          </cell>
          <cell r="D5" t="str">
            <v>中國語文</v>
          </cell>
          <cell r="E5" t="str">
            <v>Mr. Suen Kin</v>
          </cell>
          <cell r="I5">
            <v>46</v>
          </cell>
        </row>
        <row r="6">
          <cell r="B6" t="str">
            <v>DAE101_CS5</v>
          </cell>
          <cell r="C6" t="str">
            <v>Chinese Language</v>
          </cell>
          <cell r="D6" t="str">
            <v>中國語文</v>
          </cell>
          <cell r="E6" t="str">
            <v>Mr. Suen Kin</v>
          </cell>
          <cell r="I6">
            <v>51</v>
          </cell>
        </row>
        <row r="7">
          <cell r="B7" t="str">
            <v>DAE101_CS6</v>
          </cell>
          <cell r="C7" t="str">
            <v>Chinese Language</v>
          </cell>
          <cell r="D7" t="str">
            <v>中國語文</v>
          </cell>
          <cell r="E7" t="str">
            <v>Mr. Chris Chau</v>
          </cell>
          <cell r="I7">
            <v>53</v>
          </cell>
        </row>
        <row r="8">
          <cell r="B8" t="str">
            <v>DAE101_WT1</v>
          </cell>
          <cell r="C8" t="str">
            <v>Chinese Language</v>
          </cell>
          <cell r="D8" t="str">
            <v>中國語文</v>
          </cell>
          <cell r="E8" t="str">
            <v>Ms. Lee Sum Kit</v>
          </cell>
          <cell r="I8">
            <v>42</v>
          </cell>
        </row>
        <row r="9">
          <cell r="B9" t="str">
            <v>DAE101_WT2</v>
          </cell>
          <cell r="C9" t="str">
            <v>Chinese Language</v>
          </cell>
          <cell r="D9" t="str">
            <v>中國語文</v>
          </cell>
          <cell r="E9" t="str">
            <v>Ms. Lee Sum Kit</v>
          </cell>
          <cell r="I9">
            <v>42</v>
          </cell>
        </row>
        <row r="10">
          <cell r="B10" t="str">
            <v>DAE101_SW1</v>
          </cell>
          <cell r="C10" t="str">
            <v>Chinese Language</v>
          </cell>
          <cell r="D10" t="str">
            <v>中國語文</v>
          </cell>
          <cell r="E10" t="str">
            <v>Mr. Man Li</v>
          </cell>
          <cell r="I10">
            <v>34</v>
          </cell>
        </row>
        <row r="11">
          <cell r="B11" t="str">
            <v>DAE101_TW1</v>
          </cell>
          <cell r="C11" t="str">
            <v>Chinese Language</v>
          </cell>
          <cell r="D11" t="str">
            <v>中國語文</v>
          </cell>
          <cell r="E11" t="str">
            <v>Mr. Suen Kin</v>
          </cell>
          <cell r="I11">
            <v>33</v>
          </cell>
        </row>
        <row r="12">
          <cell r="B12" t="str">
            <v>DAE101_TW2</v>
          </cell>
          <cell r="C12" t="str">
            <v>Chinese Language</v>
          </cell>
          <cell r="D12" t="str">
            <v>中國語文</v>
          </cell>
          <cell r="E12" t="str">
            <v>Mr. Suen Kin</v>
          </cell>
          <cell r="I12">
            <v>32</v>
          </cell>
        </row>
        <row r="13">
          <cell r="B13" t="str">
            <v>DAE101_TW3</v>
          </cell>
          <cell r="C13" t="str">
            <v>Chinese Language</v>
          </cell>
          <cell r="D13" t="str">
            <v>中國語文</v>
          </cell>
          <cell r="E13" t="str">
            <v>Mr. Mercury Lee</v>
          </cell>
          <cell r="I13">
            <v>32</v>
          </cell>
        </row>
        <row r="14">
          <cell r="B14" t="str">
            <v>DAE101_TM1</v>
          </cell>
          <cell r="C14" t="str">
            <v>Chinese Language</v>
          </cell>
          <cell r="D14" t="str">
            <v>中國語文</v>
          </cell>
          <cell r="E14" t="str">
            <v>Mr. Alan Ho</v>
          </cell>
          <cell r="I14">
            <v>43</v>
          </cell>
        </row>
        <row r="15">
          <cell r="B15" t="str">
            <v>DAE101_TM2</v>
          </cell>
          <cell r="C15" t="str">
            <v>Chinese Language</v>
          </cell>
          <cell r="D15" t="str">
            <v>中國語文</v>
          </cell>
          <cell r="E15" t="str">
            <v>Mr. Alan Ho</v>
          </cell>
          <cell r="I15">
            <v>34</v>
          </cell>
        </row>
        <row r="16">
          <cell r="B16" t="str">
            <v>DAE101_TS1</v>
          </cell>
          <cell r="C16" t="str">
            <v>Chinese Language</v>
          </cell>
          <cell r="D16" t="str">
            <v>中國語文</v>
          </cell>
          <cell r="E16" t="str">
            <v>Mr. Bob Leung</v>
          </cell>
          <cell r="I16">
            <v>20</v>
          </cell>
        </row>
        <row r="17">
          <cell r="B17" t="str">
            <v>DAE101_TS2</v>
          </cell>
          <cell r="C17" t="str">
            <v>Chinese Language</v>
          </cell>
          <cell r="D17" t="str">
            <v>中國語文</v>
          </cell>
          <cell r="E17" t="str">
            <v>Mr. Bob Leung</v>
          </cell>
          <cell r="I17">
            <v>19</v>
          </cell>
        </row>
        <row r="18">
          <cell r="B18" t="str">
            <v>DAE101_TS3</v>
          </cell>
          <cell r="C18" t="str">
            <v>Chinese Language</v>
          </cell>
          <cell r="D18" t="str">
            <v>中國語文</v>
          </cell>
          <cell r="E18" t="str">
            <v>Mr. Alan Ho</v>
          </cell>
          <cell r="I18">
            <v>18</v>
          </cell>
        </row>
        <row r="19">
          <cell r="B19" t="str">
            <v>DAE101_TS4</v>
          </cell>
          <cell r="C19" t="str">
            <v>Chinese Language</v>
          </cell>
          <cell r="D19" t="str">
            <v>中國語文</v>
          </cell>
          <cell r="E19" t="str">
            <v>Mr. Alan Ho</v>
          </cell>
          <cell r="I19">
            <v>17</v>
          </cell>
        </row>
        <row r="20">
          <cell r="B20" t="str">
            <v>DAE101_KT1</v>
          </cell>
          <cell r="C20" t="str">
            <v>Chinese Language</v>
          </cell>
          <cell r="D20" t="str">
            <v>中國語文</v>
          </cell>
          <cell r="E20" t="str">
            <v>Mr. Man Li</v>
          </cell>
          <cell r="I20">
            <v>34</v>
          </cell>
        </row>
        <row r="21">
          <cell r="B21" t="str">
            <v>DAE101_KT2</v>
          </cell>
          <cell r="C21" t="str">
            <v>Chinese Language</v>
          </cell>
          <cell r="D21" t="str">
            <v>中國語文</v>
          </cell>
          <cell r="E21" t="str">
            <v>Mr. Man Li</v>
          </cell>
          <cell r="I21">
            <v>36</v>
          </cell>
        </row>
        <row r="22">
          <cell r="B22" t="str">
            <v>DAE101_KT3</v>
          </cell>
          <cell r="C22" t="str">
            <v>Chinese Language</v>
          </cell>
          <cell r="D22" t="str">
            <v>中國語文</v>
          </cell>
          <cell r="E22" t="str">
            <v>Mr. Bob Leung</v>
          </cell>
          <cell r="I22">
            <v>38</v>
          </cell>
        </row>
        <row r="23">
          <cell r="B23" t="str">
            <v>DAE101_TK1</v>
          </cell>
          <cell r="C23" t="str">
            <v>Chinese Language</v>
          </cell>
          <cell r="D23" t="str">
            <v>中國語文</v>
          </cell>
          <cell r="E23" t="str">
            <v>Mr. Bob Leung</v>
          </cell>
          <cell r="I23">
            <v>34</v>
          </cell>
        </row>
        <row r="24">
          <cell r="B24" t="str">
            <v>DAE101_ST1</v>
          </cell>
          <cell r="C24" t="str">
            <v>Chinese Language</v>
          </cell>
          <cell r="D24" t="str">
            <v>中國語文</v>
          </cell>
          <cell r="E24" t="str">
            <v>Mr. Alan Ho</v>
          </cell>
          <cell r="I24">
            <v>38</v>
          </cell>
        </row>
        <row r="25">
          <cell r="B25" t="str">
            <v>DAE101_ST2</v>
          </cell>
          <cell r="C25" t="str">
            <v>Chinese Language</v>
          </cell>
          <cell r="D25" t="str">
            <v>中國語文</v>
          </cell>
          <cell r="E25" t="str">
            <v>Mr. Chris Chau</v>
          </cell>
          <cell r="I25">
            <v>32</v>
          </cell>
        </row>
        <row r="26">
          <cell r="B26" t="str">
            <v>DAE101_ST3</v>
          </cell>
          <cell r="C26" t="str">
            <v>Chinese Language</v>
          </cell>
          <cell r="D26" t="str">
            <v>中國語文</v>
          </cell>
          <cell r="E26" t="str">
            <v>Mr. Alan Ho</v>
          </cell>
          <cell r="I26">
            <v>28</v>
          </cell>
        </row>
        <row r="27">
          <cell r="B27" t="str">
            <v>DAE101_FL1</v>
          </cell>
          <cell r="C27" t="str">
            <v>Chinese Language</v>
          </cell>
          <cell r="D27" t="str">
            <v>中國語文</v>
          </cell>
          <cell r="E27" t="str">
            <v>Mr. Mercury Lee</v>
          </cell>
          <cell r="I27">
            <v>34</v>
          </cell>
        </row>
        <row r="28">
          <cell r="B28" t="str">
            <v>DAE101_FL2</v>
          </cell>
          <cell r="C28" t="str">
            <v>Chinese Language</v>
          </cell>
          <cell r="D28" t="str">
            <v>中國語文</v>
          </cell>
          <cell r="E28" t="str">
            <v>Ms. Lee Sum Kit</v>
          </cell>
          <cell r="I28">
            <v>34</v>
          </cell>
        </row>
        <row r="29">
          <cell r="B29" t="str">
            <v>DAE101_FL3</v>
          </cell>
          <cell r="C29" t="str">
            <v>Chinese Language</v>
          </cell>
          <cell r="D29" t="str">
            <v>中國語文</v>
          </cell>
          <cell r="E29" t="str">
            <v>Ms. Lee Sum Kit</v>
          </cell>
          <cell r="I29">
            <v>34</v>
          </cell>
        </row>
        <row r="30">
          <cell r="B30" t="str">
            <v>DAE102_CS1</v>
          </cell>
          <cell r="C30" t="str">
            <v>English Language</v>
          </cell>
          <cell r="D30" t="str">
            <v>英國語文</v>
          </cell>
          <cell r="E30" t="str">
            <v>Mr. Ivan Yuen</v>
          </cell>
          <cell r="I30">
            <v>35</v>
          </cell>
        </row>
        <row r="31">
          <cell r="B31" t="str">
            <v>DAE102_CS2</v>
          </cell>
          <cell r="C31" t="str">
            <v>English Language</v>
          </cell>
          <cell r="D31" t="str">
            <v>英國語文</v>
          </cell>
          <cell r="E31" t="str">
            <v>Mr. Ivan Yuen</v>
          </cell>
          <cell r="I31">
            <v>34</v>
          </cell>
        </row>
        <row r="32">
          <cell r="B32" t="str">
            <v>DAE102_CS3</v>
          </cell>
          <cell r="C32" t="str">
            <v>English Language</v>
          </cell>
          <cell r="D32" t="str">
            <v>英國語文</v>
          </cell>
          <cell r="E32" t="str">
            <v>Mr. Ivan Yuen</v>
          </cell>
          <cell r="I32">
            <v>35</v>
          </cell>
        </row>
        <row r="33">
          <cell r="B33" t="str">
            <v>DAE102_CS4</v>
          </cell>
          <cell r="C33" t="str">
            <v>English Language</v>
          </cell>
          <cell r="D33" t="str">
            <v>英國語文</v>
          </cell>
          <cell r="E33" t="str">
            <v>Ms. Elise Ye</v>
          </cell>
          <cell r="I33">
            <v>46</v>
          </cell>
        </row>
        <row r="34">
          <cell r="B34" t="str">
            <v>DAE102_CS5</v>
          </cell>
          <cell r="C34" t="str">
            <v>English Language</v>
          </cell>
          <cell r="D34" t="str">
            <v>英國語文</v>
          </cell>
          <cell r="E34" t="str">
            <v>Ms. Elise Ye</v>
          </cell>
          <cell r="I34">
            <v>51</v>
          </cell>
        </row>
        <row r="35">
          <cell r="B35" t="str">
            <v>DAE102_CS6</v>
          </cell>
          <cell r="C35" t="str">
            <v>English Language</v>
          </cell>
          <cell r="D35" t="str">
            <v>英國語文</v>
          </cell>
          <cell r="E35" t="str">
            <v>Mr. Chris Hon</v>
          </cell>
          <cell r="I35">
            <v>53</v>
          </cell>
        </row>
        <row r="36">
          <cell r="B36" t="str">
            <v>DAE102_WT1</v>
          </cell>
          <cell r="C36" t="str">
            <v>English Language</v>
          </cell>
          <cell r="D36" t="str">
            <v>英國語文</v>
          </cell>
          <cell r="E36" t="str">
            <v>Ms. Cherry Ip</v>
          </cell>
          <cell r="I36">
            <v>42</v>
          </cell>
        </row>
        <row r="37">
          <cell r="B37" t="str">
            <v>DAE102_WT2</v>
          </cell>
          <cell r="C37" t="str">
            <v>English Language</v>
          </cell>
          <cell r="D37" t="str">
            <v>英國語文</v>
          </cell>
          <cell r="E37" t="str">
            <v>Ms. Cherry Ip</v>
          </cell>
          <cell r="I37">
            <v>42</v>
          </cell>
        </row>
        <row r="38">
          <cell r="B38" t="str">
            <v>DAE102_SW1</v>
          </cell>
          <cell r="C38" t="str">
            <v>English Language</v>
          </cell>
          <cell r="D38" t="str">
            <v>英國語文</v>
          </cell>
          <cell r="E38" t="str">
            <v>Mr. Chris Hon</v>
          </cell>
          <cell r="I38">
            <v>34</v>
          </cell>
        </row>
        <row r="39">
          <cell r="B39" t="str">
            <v>DAE102_TW1</v>
          </cell>
          <cell r="C39" t="str">
            <v>English Language</v>
          </cell>
          <cell r="D39" t="str">
            <v>英國語文</v>
          </cell>
          <cell r="E39" t="str">
            <v>Mr. Chris Hon</v>
          </cell>
          <cell r="I39">
            <v>33</v>
          </cell>
        </row>
        <row r="40">
          <cell r="B40" t="str">
            <v>DAE102_TW2</v>
          </cell>
          <cell r="C40" t="str">
            <v>English Language</v>
          </cell>
          <cell r="D40" t="str">
            <v>英國語文</v>
          </cell>
          <cell r="E40" t="str">
            <v>Mr. Chris Hon</v>
          </cell>
          <cell r="I40">
            <v>32</v>
          </cell>
        </row>
        <row r="41">
          <cell r="B41" t="str">
            <v>DAE102_TW3</v>
          </cell>
          <cell r="C41" t="str">
            <v>English Language</v>
          </cell>
          <cell r="D41" t="str">
            <v>英國語文</v>
          </cell>
          <cell r="E41" t="str">
            <v>Mr. Chris Hon</v>
          </cell>
          <cell r="I41">
            <v>32</v>
          </cell>
        </row>
        <row r="42">
          <cell r="B42" t="str">
            <v>DAE102_TM1</v>
          </cell>
          <cell r="C42" t="str">
            <v>English Language</v>
          </cell>
          <cell r="D42" t="str">
            <v>英國語文</v>
          </cell>
          <cell r="E42" t="str">
            <v>Ms. Sasha Cheung</v>
          </cell>
          <cell r="I42">
            <v>43</v>
          </cell>
        </row>
        <row r="43">
          <cell r="B43" t="str">
            <v>DAE102_TM2</v>
          </cell>
          <cell r="C43" t="str">
            <v>English Language</v>
          </cell>
          <cell r="D43" t="str">
            <v>英國語文</v>
          </cell>
          <cell r="E43" t="str">
            <v>Ms. Sasha Cheung</v>
          </cell>
          <cell r="I43">
            <v>34</v>
          </cell>
        </row>
        <row r="44">
          <cell r="B44" t="str">
            <v>DAE102_TM3</v>
          </cell>
          <cell r="C44" t="str">
            <v>English Language</v>
          </cell>
          <cell r="D44" t="str">
            <v>英國語文</v>
          </cell>
          <cell r="E44" t="str">
            <v>Ms. Sasha Cheung</v>
          </cell>
          <cell r="I44">
            <v>39</v>
          </cell>
        </row>
        <row r="45">
          <cell r="B45" t="str">
            <v>DAE102_TM4</v>
          </cell>
          <cell r="C45" t="str">
            <v>English Language</v>
          </cell>
          <cell r="D45" t="str">
            <v>英國語文</v>
          </cell>
          <cell r="E45" t="str">
            <v>Ms. Sasha Cheung</v>
          </cell>
          <cell r="I45">
            <v>35</v>
          </cell>
        </row>
        <row r="46">
          <cell r="B46" t="str">
            <v>DAE102_KT1</v>
          </cell>
          <cell r="C46" t="str">
            <v>English Language</v>
          </cell>
          <cell r="D46" t="str">
            <v>英國語文</v>
          </cell>
          <cell r="E46" t="str">
            <v>Ms. Cherry Ip</v>
          </cell>
          <cell r="I46">
            <v>34</v>
          </cell>
        </row>
        <row r="47">
          <cell r="B47" t="str">
            <v>DAE102_KT2</v>
          </cell>
          <cell r="C47" t="str">
            <v>English Language</v>
          </cell>
          <cell r="D47" t="str">
            <v>英國語文</v>
          </cell>
          <cell r="E47" t="str">
            <v>Ms. Cherry Ip</v>
          </cell>
          <cell r="I47">
            <v>36</v>
          </cell>
        </row>
        <row r="48">
          <cell r="B48" t="str">
            <v>DAE102_KT3</v>
          </cell>
          <cell r="C48" t="str">
            <v>English Language</v>
          </cell>
          <cell r="D48" t="str">
            <v>英國語文</v>
          </cell>
          <cell r="E48" t="str">
            <v>Ms. Cherry Ip</v>
          </cell>
          <cell r="I48">
            <v>38</v>
          </cell>
        </row>
        <row r="49">
          <cell r="B49" t="str">
            <v>DAE102_TK1</v>
          </cell>
          <cell r="C49" t="str">
            <v>English Language</v>
          </cell>
          <cell r="D49" t="str">
            <v>英國語文</v>
          </cell>
          <cell r="E49" t="str">
            <v>Ms. Cherry Ip</v>
          </cell>
          <cell r="I49">
            <v>34</v>
          </cell>
        </row>
        <row r="50">
          <cell r="B50" t="str">
            <v>DAE102_ST1</v>
          </cell>
          <cell r="C50" t="str">
            <v>English Language</v>
          </cell>
          <cell r="D50" t="str">
            <v>英國語文</v>
          </cell>
          <cell r="E50" t="str">
            <v>Ms. Lee Kit Wan</v>
          </cell>
          <cell r="I50">
            <v>38</v>
          </cell>
        </row>
        <row r="51">
          <cell r="B51" t="str">
            <v>DAE102_ST2</v>
          </cell>
          <cell r="C51" t="str">
            <v>English Language</v>
          </cell>
          <cell r="D51" t="str">
            <v>英國語文</v>
          </cell>
          <cell r="E51" t="str">
            <v>Mr. Peter Barrett</v>
          </cell>
          <cell r="I51">
            <v>32</v>
          </cell>
        </row>
        <row r="52">
          <cell r="B52" t="str">
            <v>DAE102_ST3</v>
          </cell>
          <cell r="C52" t="str">
            <v>English Language</v>
          </cell>
          <cell r="D52" t="str">
            <v>英國語文</v>
          </cell>
          <cell r="E52" t="str">
            <v>Mr. Peter Barrett</v>
          </cell>
          <cell r="I52">
            <v>28</v>
          </cell>
        </row>
        <row r="53">
          <cell r="B53" t="str">
            <v>DAE102_FL1</v>
          </cell>
          <cell r="C53" t="str">
            <v>English Language</v>
          </cell>
          <cell r="D53" t="str">
            <v>英國語文</v>
          </cell>
          <cell r="E53" t="str">
            <v>Ms. Lee Kit Wan</v>
          </cell>
          <cell r="I53">
            <v>34</v>
          </cell>
        </row>
        <row r="54">
          <cell r="B54" t="str">
            <v>DAE102_FL2</v>
          </cell>
          <cell r="C54" t="str">
            <v>English Language</v>
          </cell>
          <cell r="D54" t="str">
            <v>英國語文</v>
          </cell>
          <cell r="E54" t="str">
            <v>Mr. Ray Leung</v>
          </cell>
          <cell r="I54">
            <v>34</v>
          </cell>
        </row>
        <row r="55">
          <cell r="B55" t="str">
            <v>DAE102_FL3</v>
          </cell>
          <cell r="C55" t="str">
            <v>English Language</v>
          </cell>
          <cell r="D55" t="str">
            <v>英國語文</v>
          </cell>
          <cell r="E55" t="str">
            <v>Mr. Ray Leung</v>
          </cell>
          <cell r="I55">
            <v>34</v>
          </cell>
        </row>
        <row r="56">
          <cell r="B56" t="str">
            <v>DAE103_CS1</v>
          </cell>
          <cell r="C56" t="str">
            <v>Mathematics</v>
          </cell>
          <cell r="D56" t="str">
            <v>數學</v>
          </cell>
          <cell r="E56" t="str">
            <v>Mr. Kevin Ho</v>
          </cell>
          <cell r="I56">
            <v>35</v>
          </cell>
        </row>
        <row r="57">
          <cell r="B57" t="str">
            <v>DAE103_CS2</v>
          </cell>
          <cell r="C57" t="str">
            <v>Mathematics</v>
          </cell>
          <cell r="D57" t="str">
            <v>數學</v>
          </cell>
          <cell r="E57" t="str">
            <v>Mr. Mike Wong</v>
          </cell>
          <cell r="I57">
            <v>34</v>
          </cell>
        </row>
        <row r="58">
          <cell r="B58" t="str">
            <v>DAE103_CS3</v>
          </cell>
          <cell r="C58" t="str">
            <v>Mathematics</v>
          </cell>
          <cell r="D58" t="str">
            <v>數學</v>
          </cell>
          <cell r="E58" t="str">
            <v>Ms. Jo Hugh</v>
          </cell>
          <cell r="I58">
            <v>35</v>
          </cell>
        </row>
        <row r="59">
          <cell r="B59" t="str">
            <v>DAE103_CS4</v>
          </cell>
          <cell r="C59" t="str">
            <v>Mathematics</v>
          </cell>
          <cell r="D59" t="str">
            <v>數學</v>
          </cell>
          <cell r="E59" t="str">
            <v>Mr. Mike Wong</v>
          </cell>
          <cell r="I59">
            <v>46</v>
          </cell>
        </row>
        <row r="60">
          <cell r="B60" t="str">
            <v>DAE103_CS5</v>
          </cell>
          <cell r="C60" t="str">
            <v>Mathematics</v>
          </cell>
          <cell r="D60" t="str">
            <v>數學</v>
          </cell>
          <cell r="E60" t="str">
            <v>Mr. Kevin Ho</v>
          </cell>
          <cell r="I60">
            <v>51</v>
          </cell>
        </row>
        <row r="61">
          <cell r="B61" t="str">
            <v>DAE103_CS6</v>
          </cell>
          <cell r="C61" t="str">
            <v>Mathematics</v>
          </cell>
          <cell r="D61" t="str">
            <v>數學</v>
          </cell>
          <cell r="E61" t="str">
            <v>Mr. Mike Wong</v>
          </cell>
          <cell r="I61">
            <v>53</v>
          </cell>
        </row>
        <row r="62">
          <cell r="B62" t="str">
            <v>DAE103_WT1</v>
          </cell>
          <cell r="C62" t="str">
            <v>Mathematics</v>
          </cell>
          <cell r="D62" t="str">
            <v>數學</v>
          </cell>
          <cell r="E62" t="str">
            <v>Mr. Edward Siu</v>
          </cell>
          <cell r="I62">
            <v>42</v>
          </cell>
        </row>
        <row r="63">
          <cell r="B63" t="str">
            <v>DAE103_WT2</v>
          </cell>
          <cell r="C63" t="str">
            <v>Mathematics</v>
          </cell>
          <cell r="D63" t="str">
            <v>數學</v>
          </cell>
          <cell r="E63" t="str">
            <v>Mr. Edward Siu</v>
          </cell>
          <cell r="I63">
            <v>42</v>
          </cell>
        </row>
        <row r="64">
          <cell r="B64" t="str">
            <v>DAE103_SW1</v>
          </cell>
          <cell r="C64" t="str">
            <v>Mathematics</v>
          </cell>
          <cell r="D64" t="str">
            <v>數學</v>
          </cell>
          <cell r="E64" t="str">
            <v>Mr. Steve Chan</v>
          </cell>
          <cell r="I64">
            <v>34</v>
          </cell>
        </row>
        <row r="65">
          <cell r="B65" t="str">
            <v>DAE103_TW1</v>
          </cell>
          <cell r="C65" t="str">
            <v>Mathematics</v>
          </cell>
          <cell r="D65" t="str">
            <v>數學</v>
          </cell>
          <cell r="E65" t="str">
            <v>Mr. Steve Chan</v>
          </cell>
          <cell r="I65">
            <v>33</v>
          </cell>
        </row>
        <row r="66">
          <cell r="B66" t="str">
            <v>DAE103_TW2</v>
          </cell>
          <cell r="C66" t="str">
            <v>Mathematics</v>
          </cell>
          <cell r="D66" t="str">
            <v>數學</v>
          </cell>
          <cell r="E66" t="str">
            <v>Mr. Steve Chan</v>
          </cell>
          <cell r="I66">
            <v>32</v>
          </cell>
        </row>
        <row r="67">
          <cell r="B67" t="str">
            <v>DAE103_TW3</v>
          </cell>
          <cell r="C67" t="str">
            <v>Mathematics</v>
          </cell>
          <cell r="D67" t="str">
            <v>數學</v>
          </cell>
          <cell r="E67" t="str">
            <v>Mr. Steve Chan</v>
          </cell>
          <cell r="I67">
            <v>32</v>
          </cell>
        </row>
        <row r="68">
          <cell r="B68" t="str">
            <v>DAE103_TM1</v>
          </cell>
          <cell r="C68" t="str">
            <v>Mathematics</v>
          </cell>
          <cell r="D68" t="str">
            <v>數學</v>
          </cell>
          <cell r="E68" t="str">
            <v>Mr. Steve Chan</v>
          </cell>
          <cell r="I68">
            <v>43</v>
          </cell>
        </row>
        <row r="69">
          <cell r="B69" t="str">
            <v>DAE103_TM2</v>
          </cell>
          <cell r="C69" t="str">
            <v>Mathematics</v>
          </cell>
          <cell r="D69" t="str">
            <v>數學</v>
          </cell>
          <cell r="E69" t="str">
            <v>Mr. Steve Chan</v>
          </cell>
          <cell r="I69">
            <v>34</v>
          </cell>
        </row>
        <row r="70">
          <cell r="B70" t="str">
            <v>DAE103_TS1</v>
          </cell>
          <cell r="C70" t="str">
            <v>Mathematics</v>
          </cell>
          <cell r="D70" t="str">
            <v>數學</v>
          </cell>
          <cell r="E70" t="str">
            <v>Mr. Edward Siu</v>
          </cell>
          <cell r="I70">
            <v>20</v>
          </cell>
        </row>
        <row r="71">
          <cell r="B71" t="str">
            <v>DAE103_TS2</v>
          </cell>
          <cell r="C71" t="str">
            <v>Mathematics</v>
          </cell>
          <cell r="D71" t="str">
            <v>數學</v>
          </cell>
          <cell r="E71" t="str">
            <v>Mr. Edward Siu</v>
          </cell>
          <cell r="I71">
            <v>19</v>
          </cell>
        </row>
        <row r="72">
          <cell r="B72" t="str">
            <v>DAE103_TS3</v>
          </cell>
          <cell r="C72" t="str">
            <v>Mathematics</v>
          </cell>
          <cell r="D72" t="str">
            <v>數學</v>
          </cell>
          <cell r="E72" t="str">
            <v>Mr. Edward Siu</v>
          </cell>
          <cell r="I72">
            <v>18</v>
          </cell>
        </row>
        <row r="73">
          <cell r="B73" t="str">
            <v>DAE103_TS4</v>
          </cell>
          <cell r="C73" t="str">
            <v>Mathematics</v>
          </cell>
          <cell r="D73" t="str">
            <v>數學</v>
          </cell>
          <cell r="E73" t="str">
            <v>Mr. Edward Siu</v>
          </cell>
          <cell r="I73">
            <v>17</v>
          </cell>
        </row>
        <row r="74">
          <cell r="B74" t="str">
            <v>DAE103_KT1</v>
          </cell>
          <cell r="C74" t="str">
            <v>Mathematics</v>
          </cell>
          <cell r="D74" t="str">
            <v>數學</v>
          </cell>
          <cell r="E74" t="str">
            <v>Mr. Kevin Ho</v>
          </cell>
          <cell r="I74">
            <v>34</v>
          </cell>
        </row>
        <row r="75">
          <cell r="B75" t="str">
            <v>DAE103_KT2</v>
          </cell>
          <cell r="C75" t="str">
            <v>Mathematics</v>
          </cell>
          <cell r="D75" t="str">
            <v>數學</v>
          </cell>
          <cell r="E75" t="str">
            <v>Mr. Kevin Ho</v>
          </cell>
          <cell r="I75">
            <v>36</v>
          </cell>
        </row>
        <row r="76">
          <cell r="B76" t="str">
            <v>DAE103_KT3</v>
          </cell>
          <cell r="C76" t="str">
            <v>Mathematics</v>
          </cell>
          <cell r="D76" t="str">
            <v>數學</v>
          </cell>
          <cell r="E76" t="str">
            <v>Mr. Kevin Ho</v>
          </cell>
          <cell r="I76">
            <v>38</v>
          </cell>
        </row>
        <row r="77">
          <cell r="B77" t="str">
            <v>DAE103_TK1</v>
          </cell>
          <cell r="C77" t="str">
            <v>Mathematics</v>
          </cell>
          <cell r="D77" t="str">
            <v>數學</v>
          </cell>
          <cell r="E77" t="str">
            <v>Mr. Kevin Ho</v>
          </cell>
          <cell r="I77">
            <v>34</v>
          </cell>
        </row>
        <row r="78">
          <cell r="B78" t="str">
            <v>DAE103_ST1</v>
          </cell>
          <cell r="C78" t="str">
            <v>Mathematics</v>
          </cell>
          <cell r="D78" t="str">
            <v>數學</v>
          </cell>
          <cell r="E78" t="str">
            <v>Mr. Mike Wong</v>
          </cell>
          <cell r="I78">
            <v>38</v>
          </cell>
        </row>
        <row r="79">
          <cell r="B79" t="str">
            <v>DAE103_ST2</v>
          </cell>
          <cell r="C79" t="str">
            <v>Mathematics</v>
          </cell>
          <cell r="D79" t="str">
            <v>數學</v>
          </cell>
          <cell r="E79" t="str">
            <v>Mr. Mike Wong</v>
          </cell>
          <cell r="I79">
            <v>32</v>
          </cell>
        </row>
        <row r="80">
          <cell r="B80" t="str">
            <v>DAE103_ST3</v>
          </cell>
          <cell r="C80" t="str">
            <v>Mathematics</v>
          </cell>
          <cell r="D80" t="str">
            <v>數學</v>
          </cell>
          <cell r="E80" t="str">
            <v>Mr. Mike Wong</v>
          </cell>
          <cell r="I80">
            <v>28</v>
          </cell>
        </row>
        <row r="81">
          <cell r="B81" t="str">
            <v>DAE103_FL1</v>
          </cell>
          <cell r="C81" t="str">
            <v>Mathematics</v>
          </cell>
          <cell r="D81" t="str">
            <v>數學</v>
          </cell>
          <cell r="E81" t="str">
            <v>Mr. Newman Lo</v>
          </cell>
          <cell r="I81">
            <v>34</v>
          </cell>
        </row>
        <row r="82">
          <cell r="B82" t="str">
            <v>DAE103_FL2</v>
          </cell>
          <cell r="C82" t="str">
            <v>Mathematics</v>
          </cell>
          <cell r="D82" t="str">
            <v>數學</v>
          </cell>
          <cell r="E82" t="str">
            <v>Ms. Jo Hugh</v>
          </cell>
          <cell r="I82">
            <v>34</v>
          </cell>
        </row>
        <row r="83">
          <cell r="B83" t="str">
            <v>DAE103_FL3</v>
          </cell>
          <cell r="C83" t="str">
            <v>Mathematics</v>
          </cell>
          <cell r="D83" t="str">
            <v>數學</v>
          </cell>
          <cell r="E83" t="str">
            <v>Mr. Newman Lo</v>
          </cell>
          <cell r="I83">
            <v>34</v>
          </cell>
        </row>
        <row r="84">
          <cell r="B84" t="str">
            <v>DAE106_CS1</v>
          </cell>
          <cell r="C84" t="str">
            <v>Career and Life Planning</v>
          </cell>
          <cell r="D84" t="str">
            <v>生涯規劃</v>
          </cell>
          <cell r="E84" t="str">
            <v>Mr. Mark Yu</v>
          </cell>
          <cell r="I84">
            <v>35</v>
          </cell>
        </row>
        <row r="85">
          <cell r="B85" t="str">
            <v>DAE106_CS2</v>
          </cell>
          <cell r="C85" t="str">
            <v>Career and Life Planning</v>
          </cell>
          <cell r="D85" t="str">
            <v>生涯規劃</v>
          </cell>
          <cell r="E85" t="str">
            <v>Mr. Mark Yu</v>
          </cell>
          <cell r="I85">
            <v>34</v>
          </cell>
        </row>
        <row r="86">
          <cell r="B86" t="str">
            <v>DAE106_CS3</v>
          </cell>
          <cell r="C86" t="str">
            <v>Career and Life Planning</v>
          </cell>
          <cell r="D86" t="str">
            <v>生涯規劃</v>
          </cell>
          <cell r="E86" t="str">
            <v>Mr. Mark Yu</v>
          </cell>
          <cell r="I86">
            <v>35</v>
          </cell>
        </row>
        <row r="87">
          <cell r="B87" t="str">
            <v>DAE106_CS4</v>
          </cell>
          <cell r="C87" t="str">
            <v>Career and Life Planning</v>
          </cell>
          <cell r="D87" t="str">
            <v>生涯規劃</v>
          </cell>
          <cell r="E87" t="str">
            <v>Ms. Jo Hugh</v>
          </cell>
          <cell r="I87">
            <v>45</v>
          </cell>
        </row>
        <row r="88">
          <cell r="B88" t="str">
            <v>DAE106_CS5</v>
          </cell>
          <cell r="C88" t="str">
            <v>Career and Life Planning</v>
          </cell>
          <cell r="D88" t="str">
            <v>生涯規劃</v>
          </cell>
          <cell r="E88" t="str">
            <v>Mr. Man Li</v>
          </cell>
          <cell r="I88">
            <v>51</v>
          </cell>
        </row>
        <row r="89">
          <cell r="B89" t="str">
            <v>DAE106_CS6</v>
          </cell>
          <cell r="C89" t="str">
            <v>Career and Life Planning</v>
          </cell>
          <cell r="D89" t="str">
            <v>生涯規劃</v>
          </cell>
          <cell r="E89" t="str">
            <v>Mr. Mike Wong</v>
          </cell>
          <cell r="I89">
            <v>33</v>
          </cell>
        </row>
        <row r="90">
          <cell r="B90" t="str">
            <v>DAE106_WT1</v>
          </cell>
          <cell r="C90" t="str">
            <v>Career and Life Planning</v>
          </cell>
          <cell r="D90" t="str">
            <v>生涯規劃</v>
          </cell>
          <cell r="E90" t="str">
            <v>Mr. Edward Siu</v>
          </cell>
          <cell r="I90">
            <v>40</v>
          </cell>
        </row>
        <row r="91">
          <cell r="B91" t="str">
            <v>DAE106_WT2</v>
          </cell>
          <cell r="C91" t="str">
            <v>Career and Life Planning</v>
          </cell>
          <cell r="D91" t="str">
            <v>生涯規劃</v>
          </cell>
          <cell r="E91" t="str">
            <v>Mr. Mercury Lee</v>
          </cell>
          <cell r="I91">
            <v>28</v>
          </cell>
        </row>
        <row r="92">
          <cell r="B92" t="str">
            <v>DAE106_SW1</v>
          </cell>
          <cell r="C92" t="str">
            <v>Career and Life Planning</v>
          </cell>
          <cell r="D92" t="str">
            <v>生涯規劃</v>
          </cell>
          <cell r="E92" t="str">
            <v>Ms. Joanne Chow</v>
          </cell>
          <cell r="I92">
            <v>30</v>
          </cell>
        </row>
        <row r="93">
          <cell r="B93" t="str">
            <v>DAE106_TW1</v>
          </cell>
          <cell r="C93" t="str">
            <v>Career and Life Planning</v>
          </cell>
          <cell r="D93" t="str">
            <v>生涯規劃</v>
          </cell>
          <cell r="E93" t="str">
            <v>Mr. Eddie Cheung</v>
          </cell>
          <cell r="I93">
            <v>33</v>
          </cell>
        </row>
        <row r="94">
          <cell r="B94" t="str">
            <v>DAE106_TW2</v>
          </cell>
          <cell r="C94" t="str">
            <v>Career and Life Planning</v>
          </cell>
          <cell r="D94" t="str">
            <v>生涯規劃</v>
          </cell>
          <cell r="E94" t="str">
            <v>Mr. Eddie Cheung</v>
          </cell>
          <cell r="I94">
            <v>32</v>
          </cell>
        </row>
        <row r="95">
          <cell r="B95" t="str">
            <v>DAE106_TW3</v>
          </cell>
          <cell r="C95" t="str">
            <v>Career and Life Planning</v>
          </cell>
          <cell r="D95" t="str">
            <v>生涯規劃</v>
          </cell>
          <cell r="E95" t="str">
            <v>Ms. Sally Yip</v>
          </cell>
          <cell r="I95">
            <v>23</v>
          </cell>
        </row>
        <row r="96">
          <cell r="B96" t="str">
            <v>DAE106_TM1</v>
          </cell>
          <cell r="C96" t="str">
            <v>Career and Life Planning</v>
          </cell>
          <cell r="D96" t="str">
            <v>生涯規劃</v>
          </cell>
          <cell r="E96" t="str">
            <v>Mr. Eddie Cheung</v>
          </cell>
          <cell r="I96">
            <v>43</v>
          </cell>
        </row>
        <row r="97">
          <cell r="B97" t="str">
            <v>DAE106_TM2</v>
          </cell>
          <cell r="C97" t="str">
            <v>Career and Life Planning</v>
          </cell>
          <cell r="D97" t="str">
            <v>生涯規劃</v>
          </cell>
          <cell r="E97" t="str">
            <v>Mr. Eddie Cheung</v>
          </cell>
          <cell r="I97">
            <v>22</v>
          </cell>
        </row>
        <row r="98">
          <cell r="B98" t="str">
            <v>DAE106_TM3</v>
          </cell>
          <cell r="C98" t="str">
            <v>Career and Life Planning</v>
          </cell>
          <cell r="D98" t="str">
            <v>生涯規劃</v>
          </cell>
          <cell r="I98">
            <v>0</v>
          </cell>
        </row>
        <row r="99">
          <cell r="B99" t="str">
            <v>DAE106_TM4</v>
          </cell>
          <cell r="C99" t="str">
            <v>Career and Life Planning</v>
          </cell>
          <cell r="D99" t="str">
            <v>生涯規劃</v>
          </cell>
          <cell r="I99">
            <v>0</v>
          </cell>
        </row>
        <row r="100">
          <cell r="B100" t="str">
            <v>DAE106_TS1</v>
          </cell>
          <cell r="C100" t="str">
            <v>Career and Life Planning</v>
          </cell>
          <cell r="D100" t="str">
            <v>生涯規劃</v>
          </cell>
          <cell r="E100" t="str">
            <v>Mr. Newman Lo</v>
          </cell>
          <cell r="I100">
            <v>20</v>
          </cell>
        </row>
        <row r="101">
          <cell r="B101" t="str">
            <v>DAE106_TS2</v>
          </cell>
          <cell r="C101" t="str">
            <v>Career and Life Planning</v>
          </cell>
          <cell r="D101" t="str">
            <v>生涯規劃</v>
          </cell>
          <cell r="E101" t="str">
            <v>Mr. Newman Lo</v>
          </cell>
          <cell r="I101">
            <v>19</v>
          </cell>
        </row>
        <row r="102">
          <cell r="B102" t="str">
            <v>DAE106_TS3</v>
          </cell>
          <cell r="C102" t="str">
            <v>Career and Life Planning</v>
          </cell>
          <cell r="D102" t="str">
            <v>生涯規劃</v>
          </cell>
          <cell r="E102" t="str">
            <v>Mr. Eddie Cheung</v>
          </cell>
          <cell r="I102">
            <v>10</v>
          </cell>
        </row>
        <row r="103">
          <cell r="B103" t="str">
            <v>DAE106_TS4</v>
          </cell>
          <cell r="C103" t="str">
            <v>Career and Life Planning</v>
          </cell>
          <cell r="D103" t="str">
            <v>生涯規劃</v>
          </cell>
          <cell r="E103" t="str">
            <v>Mr. Eddie Cheung</v>
          </cell>
          <cell r="I103">
            <v>10</v>
          </cell>
        </row>
        <row r="104">
          <cell r="B104" t="str">
            <v>DAE106_KT1</v>
          </cell>
          <cell r="C104" t="str">
            <v>Career and Life Planning</v>
          </cell>
          <cell r="D104" t="str">
            <v>生涯規劃</v>
          </cell>
          <cell r="E104" t="str">
            <v>Ms. Kathy Wong</v>
          </cell>
          <cell r="I104">
            <v>34</v>
          </cell>
        </row>
        <row r="105">
          <cell r="B105" t="str">
            <v>DAE106_KT2</v>
          </cell>
          <cell r="C105" t="str">
            <v>Career and Life Planning</v>
          </cell>
          <cell r="D105" t="str">
            <v>生涯規劃</v>
          </cell>
          <cell r="E105" t="str">
            <v>Ms. Kathy Wong</v>
          </cell>
          <cell r="I105">
            <v>36</v>
          </cell>
        </row>
        <row r="106">
          <cell r="B106" t="str">
            <v>DAE106_KT3</v>
          </cell>
          <cell r="C106" t="str">
            <v>Career and Life Planning</v>
          </cell>
          <cell r="D106" t="str">
            <v>生涯規劃</v>
          </cell>
          <cell r="E106" t="str">
            <v>Ms. Kathy Wong</v>
          </cell>
          <cell r="I106">
            <v>23</v>
          </cell>
        </row>
        <row r="107">
          <cell r="B107" t="str">
            <v>DAE106_TK1</v>
          </cell>
          <cell r="C107" t="str">
            <v>Career and Life Planning</v>
          </cell>
          <cell r="D107" t="str">
            <v>生涯規劃</v>
          </cell>
          <cell r="E107" t="str">
            <v>Mr. Lincoln Ho</v>
          </cell>
          <cell r="I107">
            <v>27</v>
          </cell>
        </row>
        <row r="108">
          <cell r="B108" t="str">
            <v>DAE106_ST1</v>
          </cell>
          <cell r="C108" t="str">
            <v>Career and Life Planning</v>
          </cell>
          <cell r="D108" t="str">
            <v>生涯規劃</v>
          </cell>
          <cell r="E108" t="str">
            <v>Mr. Eddie Cheung</v>
          </cell>
          <cell r="I108">
            <v>38</v>
          </cell>
        </row>
        <row r="109">
          <cell r="B109" t="str">
            <v>DAE106_ST2</v>
          </cell>
          <cell r="C109" t="str">
            <v>Career and Life Planning</v>
          </cell>
          <cell r="D109" t="str">
            <v>生涯規劃</v>
          </cell>
          <cell r="E109" t="str">
            <v>Ms. Joanne Chow</v>
          </cell>
          <cell r="I109">
            <v>32</v>
          </cell>
        </row>
        <row r="110">
          <cell r="B110" t="str">
            <v>DAE106_ST3</v>
          </cell>
          <cell r="C110" t="str">
            <v>Career and Life Planning</v>
          </cell>
          <cell r="D110" t="str">
            <v>生涯規劃</v>
          </cell>
          <cell r="E110" t="str">
            <v>Mr. Eddie Cheung</v>
          </cell>
          <cell r="I110">
            <v>15</v>
          </cell>
        </row>
        <row r="111">
          <cell r="B111" t="str">
            <v>DAE106_FL1</v>
          </cell>
          <cell r="C111" t="str">
            <v>Career and Life Planning</v>
          </cell>
          <cell r="D111" t="str">
            <v>生涯規劃</v>
          </cell>
          <cell r="E111" t="str">
            <v>Mr. Eddie Cheung</v>
          </cell>
          <cell r="I111">
            <v>18</v>
          </cell>
        </row>
        <row r="112">
          <cell r="B112" t="str">
            <v>DAE106_FL2</v>
          </cell>
          <cell r="C112" t="str">
            <v>Career and Life Planning</v>
          </cell>
          <cell r="D112" t="str">
            <v>生涯規劃</v>
          </cell>
          <cell r="E112" t="str">
            <v>Ms. Kathy Wong</v>
          </cell>
          <cell r="I112">
            <v>34</v>
          </cell>
        </row>
        <row r="113">
          <cell r="B113" t="str">
            <v>DAE106_FL3</v>
          </cell>
          <cell r="C113" t="str">
            <v>Career and Life Planning</v>
          </cell>
          <cell r="D113" t="str">
            <v>生涯規劃</v>
          </cell>
          <cell r="E113" t="str">
            <v>Ms. Joanne Chow</v>
          </cell>
          <cell r="I113">
            <v>31</v>
          </cell>
        </row>
        <row r="114">
          <cell r="B114" t="str">
            <v>DAE108_CS6</v>
          </cell>
          <cell r="C114" t="str">
            <v>Maths Plus</v>
          </cell>
          <cell r="D114" t="str">
            <v>延伸數學</v>
          </cell>
          <cell r="E114" t="str">
            <v>Mr. Edward Siu</v>
          </cell>
          <cell r="I114">
            <v>38</v>
          </cell>
        </row>
        <row r="115">
          <cell r="B115" t="str">
            <v>DAE108_TW3</v>
          </cell>
          <cell r="C115" t="str">
            <v>Maths Plus</v>
          </cell>
          <cell r="D115" t="str">
            <v>延伸數學</v>
          </cell>
          <cell r="E115" t="str">
            <v>Mr. Edward Siu</v>
          </cell>
          <cell r="I115">
            <v>32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FF885-66DA-453A-9BF5-6378055E7DF6}">
  <sheetPr>
    <tabColor theme="5" tint="0.39997558519241921"/>
    <pageSetUpPr fitToPage="1"/>
  </sheetPr>
  <dimension ref="A1:AD37"/>
  <sheetViews>
    <sheetView zoomScale="85" zoomScaleNormal="85" workbookViewId="0">
      <pane xSplit="3" ySplit="2" topLeftCell="M21" activePane="bottomRight" state="frozen"/>
      <selection activeCell="I16" sqref="I16"/>
      <selection pane="topRight" activeCell="I16" sqref="I16"/>
      <selection pane="bottomLeft" activeCell="I16" sqref="I16"/>
      <selection pane="bottomRight" activeCell="T28" sqref="T28"/>
    </sheetView>
  </sheetViews>
  <sheetFormatPr defaultRowHeight="16.5"/>
  <cols>
    <col min="2" max="3" width="6.375" customWidth="1"/>
    <col min="5" max="5" width="5.625" bestFit="1" customWidth="1"/>
    <col min="6" max="6" width="18.5" style="147" bestFit="1" customWidth="1"/>
    <col min="7" max="7" width="16.125" bestFit="1" customWidth="1"/>
    <col min="9" max="9" width="9.5" bestFit="1" customWidth="1"/>
    <col min="10" max="10" width="5.625" bestFit="1" customWidth="1"/>
    <col min="11" max="11" width="18.5" style="147" customWidth="1"/>
    <col min="12" max="12" width="16.125" bestFit="1" customWidth="1"/>
    <col min="13" max="13" width="9" customWidth="1"/>
    <col min="14" max="14" width="9" hidden="1" customWidth="1"/>
    <col min="15" max="15" width="5.625" hidden="1" customWidth="1"/>
    <col min="16" max="18" width="9" hidden="1" customWidth="1"/>
    <col min="19" max="19" width="4.625" customWidth="1"/>
    <col min="20" max="20" width="11.125" customWidth="1"/>
    <col min="21" max="21" width="5.625" bestFit="1" customWidth="1"/>
    <col min="22" max="22" width="24.25" style="147" bestFit="1" customWidth="1"/>
    <col min="23" max="23" width="15.375" bestFit="1" customWidth="1"/>
    <col min="25" max="25" width="12" customWidth="1"/>
    <col min="26" max="26" width="5.625" bestFit="1" customWidth="1"/>
    <col min="27" max="27" width="24.25" style="147" bestFit="1" customWidth="1"/>
    <col min="28" max="28" width="15.375" bestFit="1" customWidth="1"/>
  </cols>
  <sheetData>
    <row r="1" spans="1:29">
      <c r="A1" s="133" t="s">
        <v>306</v>
      </c>
      <c r="B1" s="133"/>
      <c r="C1" s="133"/>
      <c r="D1" s="224" t="s">
        <v>307</v>
      </c>
      <c r="E1" s="133"/>
      <c r="F1" s="225"/>
      <c r="G1" s="133"/>
      <c r="H1" s="133"/>
      <c r="I1" s="224" t="s">
        <v>308</v>
      </c>
      <c r="J1" s="133"/>
      <c r="K1" s="225"/>
      <c r="L1" s="133"/>
      <c r="M1" s="133"/>
      <c r="N1" s="224" t="s">
        <v>309</v>
      </c>
      <c r="O1" s="133"/>
      <c r="P1" s="133"/>
      <c r="Q1" s="133"/>
      <c r="R1" s="224"/>
      <c r="S1" s="226"/>
      <c r="T1" s="224" t="s">
        <v>310</v>
      </c>
      <c r="U1" s="133"/>
      <c r="V1" s="225"/>
      <c r="W1" s="133"/>
      <c r="X1" s="133"/>
      <c r="Y1" s="224" t="s">
        <v>311</v>
      </c>
      <c r="Z1" s="133"/>
      <c r="AA1" s="225"/>
      <c r="AB1" s="133"/>
      <c r="AC1" s="227"/>
    </row>
    <row r="2" spans="1:29" ht="25.5">
      <c r="A2" s="49" t="s">
        <v>312</v>
      </c>
      <c r="B2" s="49" t="s">
        <v>313</v>
      </c>
      <c r="C2" s="49" t="s">
        <v>314</v>
      </c>
      <c r="D2" s="49" t="s">
        <v>315</v>
      </c>
      <c r="E2" s="228" t="s">
        <v>462</v>
      </c>
      <c r="F2" s="52" t="s">
        <v>317</v>
      </c>
      <c r="G2" s="49" t="s">
        <v>318</v>
      </c>
      <c r="H2" s="49" t="s">
        <v>283</v>
      </c>
      <c r="I2" s="49" t="s">
        <v>315</v>
      </c>
      <c r="J2" s="228" t="s">
        <v>463</v>
      </c>
      <c r="K2" s="52" t="s">
        <v>317</v>
      </c>
      <c r="L2" s="49" t="s">
        <v>318</v>
      </c>
      <c r="M2" s="49" t="s">
        <v>283</v>
      </c>
      <c r="N2" s="49" t="s">
        <v>315</v>
      </c>
      <c r="O2" s="228" t="s">
        <v>463</v>
      </c>
      <c r="P2" s="49" t="s">
        <v>317</v>
      </c>
      <c r="Q2" s="49" t="s">
        <v>318</v>
      </c>
      <c r="R2" s="49" t="s">
        <v>283</v>
      </c>
      <c r="S2" s="98"/>
      <c r="T2" s="49" t="s">
        <v>315</v>
      </c>
      <c r="U2" s="228" t="s">
        <v>463</v>
      </c>
      <c r="V2" s="52" t="s">
        <v>317</v>
      </c>
      <c r="W2" s="49" t="s">
        <v>318</v>
      </c>
      <c r="X2" s="49" t="s">
        <v>283</v>
      </c>
      <c r="Y2" s="49" t="s">
        <v>315</v>
      </c>
      <c r="Z2" s="228" t="s">
        <v>463</v>
      </c>
      <c r="AA2" s="52" t="s">
        <v>317</v>
      </c>
      <c r="AB2" s="49" t="s">
        <v>318</v>
      </c>
      <c r="AC2" s="49" t="s">
        <v>283</v>
      </c>
    </row>
    <row r="3" spans="1:29">
      <c r="A3" s="133" t="s">
        <v>0</v>
      </c>
      <c r="B3" s="1">
        <v>44</v>
      </c>
      <c r="C3" s="1">
        <v>48</v>
      </c>
      <c r="D3" s="1" t="s">
        <v>464</v>
      </c>
      <c r="E3" s="229">
        <v>38</v>
      </c>
      <c r="F3" s="60" t="s">
        <v>508</v>
      </c>
      <c r="G3" s="1" t="s">
        <v>509</v>
      </c>
      <c r="H3" s="1"/>
      <c r="I3" s="1" t="s">
        <v>510</v>
      </c>
      <c r="J3" s="229">
        <v>38</v>
      </c>
      <c r="K3" s="60" t="s">
        <v>508</v>
      </c>
      <c r="L3" s="1" t="s">
        <v>509</v>
      </c>
      <c r="M3" s="1"/>
      <c r="N3" s="1"/>
      <c r="O3" s="1"/>
      <c r="P3" s="1"/>
      <c r="Q3" s="1"/>
      <c r="R3" s="6"/>
      <c r="S3" s="98"/>
      <c r="T3" s="1" t="s">
        <v>465</v>
      </c>
      <c r="U3" s="229">
        <v>30</v>
      </c>
      <c r="V3" s="60" t="s">
        <v>511</v>
      </c>
      <c r="W3" s="1" t="s">
        <v>512</v>
      </c>
      <c r="X3" s="1"/>
      <c r="Y3" s="1" t="s">
        <v>513</v>
      </c>
      <c r="Z3" s="229">
        <v>30</v>
      </c>
      <c r="AA3" s="60" t="s">
        <v>511</v>
      </c>
      <c r="AB3" s="1" t="s">
        <v>512</v>
      </c>
      <c r="AC3" s="16"/>
    </row>
    <row r="4" spans="1:29">
      <c r="A4" s="133" t="s">
        <v>2</v>
      </c>
      <c r="B4" s="1">
        <v>42</v>
      </c>
      <c r="C4" s="1">
        <v>48</v>
      </c>
      <c r="D4" s="1" t="s">
        <v>466</v>
      </c>
      <c r="E4" s="229">
        <v>36</v>
      </c>
      <c r="F4" s="60" t="s">
        <v>514</v>
      </c>
      <c r="G4" s="1" t="s">
        <v>515</v>
      </c>
      <c r="H4" s="1"/>
      <c r="I4" s="1" t="s">
        <v>516</v>
      </c>
      <c r="J4" s="229">
        <v>36</v>
      </c>
      <c r="K4" s="60" t="s">
        <v>514</v>
      </c>
      <c r="L4" s="1" t="s">
        <v>515</v>
      </c>
      <c r="M4" s="1"/>
      <c r="N4" s="1"/>
      <c r="O4" s="1"/>
      <c r="P4" s="1"/>
      <c r="Q4" s="1"/>
      <c r="R4" s="6"/>
      <c r="S4" s="98"/>
      <c r="T4" s="1" t="s">
        <v>467</v>
      </c>
      <c r="U4" s="229">
        <v>30</v>
      </c>
      <c r="V4" s="60" t="s">
        <v>517</v>
      </c>
      <c r="W4" s="1" t="s">
        <v>518</v>
      </c>
      <c r="X4" s="1"/>
      <c r="Y4" s="1" t="s">
        <v>519</v>
      </c>
      <c r="Z4" s="229">
        <v>30</v>
      </c>
      <c r="AA4" s="60" t="s">
        <v>517</v>
      </c>
      <c r="AB4" s="1" t="s">
        <v>518</v>
      </c>
      <c r="AC4" s="16"/>
    </row>
    <row r="5" spans="1:29">
      <c r="A5" s="133" t="s">
        <v>4</v>
      </c>
      <c r="B5" s="1">
        <v>44</v>
      </c>
      <c r="C5" s="1">
        <v>78</v>
      </c>
      <c r="D5" s="230"/>
      <c r="E5" s="231" t="s">
        <v>461</v>
      </c>
      <c r="F5" s="232" t="s">
        <v>461</v>
      </c>
      <c r="G5" s="230" t="s">
        <v>461</v>
      </c>
      <c r="H5" s="230"/>
      <c r="I5" s="230">
        <v>0</v>
      </c>
      <c r="J5" s="231" t="s">
        <v>461</v>
      </c>
      <c r="K5" s="232" t="s">
        <v>461</v>
      </c>
      <c r="L5" s="230" t="s">
        <v>461</v>
      </c>
      <c r="M5" s="233"/>
      <c r="N5" s="1"/>
      <c r="O5" s="1"/>
      <c r="P5" s="1"/>
      <c r="Q5" s="1"/>
      <c r="R5" s="6"/>
      <c r="S5" s="98"/>
      <c r="T5" s="49" t="s">
        <v>468</v>
      </c>
      <c r="U5" s="234">
        <v>35</v>
      </c>
      <c r="V5" s="52" t="s">
        <v>327</v>
      </c>
      <c r="W5" s="49" t="s">
        <v>266</v>
      </c>
      <c r="X5" s="49" t="s">
        <v>295</v>
      </c>
      <c r="Y5" s="49" t="s">
        <v>520</v>
      </c>
      <c r="Z5" s="234">
        <v>35</v>
      </c>
      <c r="AA5" s="52" t="s">
        <v>327</v>
      </c>
      <c r="AB5" s="49" t="s">
        <v>266</v>
      </c>
      <c r="AC5" s="49" t="s">
        <v>296</v>
      </c>
    </row>
    <row r="6" spans="1:29">
      <c r="A6" s="133"/>
      <c r="B6" s="1"/>
      <c r="C6" s="1"/>
      <c r="D6" s="230"/>
      <c r="E6" s="231"/>
      <c r="F6" s="232"/>
      <c r="G6" s="230"/>
      <c r="H6" s="230"/>
      <c r="I6" s="230"/>
      <c r="J6" s="231"/>
      <c r="K6" s="232"/>
      <c r="L6" s="230"/>
      <c r="M6" s="233"/>
      <c r="N6" s="1"/>
      <c r="O6" s="1"/>
      <c r="P6" s="1"/>
      <c r="Q6" s="1"/>
      <c r="R6" s="146"/>
      <c r="S6" s="98"/>
      <c r="T6" s="49" t="s">
        <v>469</v>
      </c>
      <c r="U6" s="234">
        <v>39</v>
      </c>
      <c r="V6" s="52" t="s">
        <v>327</v>
      </c>
      <c r="W6" s="49" t="s">
        <v>266</v>
      </c>
      <c r="X6" s="49" t="s">
        <v>470</v>
      </c>
      <c r="Y6" s="49" t="s">
        <v>521</v>
      </c>
      <c r="Z6" s="234">
        <v>39</v>
      </c>
      <c r="AA6" s="52" t="s">
        <v>327</v>
      </c>
      <c r="AB6" s="49" t="s">
        <v>266</v>
      </c>
      <c r="AC6" s="49"/>
    </row>
    <row r="7" spans="1:29">
      <c r="A7" s="133" t="s">
        <v>6</v>
      </c>
      <c r="B7" s="1">
        <v>45</v>
      </c>
      <c r="C7" s="1">
        <v>53</v>
      </c>
      <c r="D7" s="1" t="s">
        <v>471</v>
      </c>
      <c r="E7" s="229">
        <v>30</v>
      </c>
      <c r="F7" s="60" t="s">
        <v>511</v>
      </c>
      <c r="G7" s="1" t="s">
        <v>512</v>
      </c>
      <c r="H7" s="1"/>
      <c r="I7" s="1" t="s">
        <v>522</v>
      </c>
      <c r="J7" s="229">
        <v>30</v>
      </c>
      <c r="K7" s="60" t="s">
        <v>511</v>
      </c>
      <c r="L7" s="1" t="s">
        <v>512</v>
      </c>
      <c r="M7" s="16"/>
      <c r="N7" s="1"/>
      <c r="O7" s="1"/>
      <c r="P7" s="1"/>
      <c r="Q7" s="1"/>
      <c r="S7" s="235"/>
      <c r="T7" s="236" t="s">
        <v>472</v>
      </c>
      <c r="U7" s="237">
        <v>19</v>
      </c>
      <c r="V7" s="238" t="s">
        <v>523</v>
      </c>
      <c r="W7" s="236" t="s">
        <v>212</v>
      </c>
      <c r="X7" s="239"/>
      <c r="Y7" s="236" t="s">
        <v>524</v>
      </c>
      <c r="Z7" s="237">
        <v>19</v>
      </c>
      <c r="AA7" s="238" t="s">
        <v>523</v>
      </c>
      <c r="AB7" s="236" t="s">
        <v>212</v>
      </c>
      <c r="AC7" s="240"/>
    </row>
    <row r="8" spans="1:29">
      <c r="A8" s="133"/>
      <c r="B8" s="1"/>
      <c r="C8" s="1"/>
      <c r="D8" s="1"/>
      <c r="E8" s="229"/>
      <c r="F8" s="60"/>
      <c r="G8" s="1"/>
      <c r="H8" s="1"/>
      <c r="I8" s="1"/>
      <c r="J8" s="229"/>
      <c r="K8" s="60"/>
      <c r="L8" s="1"/>
      <c r="M8" s="16"/>
      <c r="N8" s="1"/>
      <c r="O8" s="1"/>
      <c r="P8" s="1"/>
      <c r="Q8" s="1"/>
      <c r="S8" s="235"/>
      <c r="T8" s="236" t="s">
        <v>473</v>
      </c>
      <c r="U8" s="237">
        <v>22</v>
      </c>
      <c r="V8" s="238" t="s">
        <v>525</v>
      </c>
      <c r="W8" s="236" t="s">
        <v>212</v>
      </c>
      <c r="X8" s="239"/>
      <c r="Y8" s="236" t="s">
        <v>526</v>
      </c>
      <c r="Z8" s="237">
        <v>22</v>
      </c>
      <c r="AA8" s="238" t="s">
        <v>525</v>
      </c>
      <c r="AB8" s="236" t="s">
        <v>212</v>
      </c>
      <c r="AC8" s="240"/>
    </row>
    <row r="9" spans="1:29">
      <c r="A9" s="133" t="s">
        <v>8</v>
      </c>
      <c r="B9" s="1">
        <v>27</v>
      </c>
      <c r="C9" s="1">
        <v>25</v>
      </c>
      <c r="D9" s="1"/>
      <c r="E9" s="229" t="s">
        <v>461</v>
      </c>
      <c r="F9" s="60" t="s">
        <v>461</v>
      </c>
      <c r="G9" s="1" t="s">
        <v>461</v>
      </c>
      <c r="H9" s="1"/>
      <c r="I9" s="1">
        <v>0</v>
      </c>
      <c r="J9" s="229" t="s">
        <v>461</v>
      </c>
      <c r="K9" s="60" t="s">
        <v>461</v>
      </c>
      <c r="L9" s="1" t="s">
        <v>461</v>
      </c>
      <c r="M9" s="16"/>
      <c r="N9" s="1"/>
      <c r="O9" s="1"/>
      <c r="P9" s="1"/>
      <c r="Q9" s="1"/>
      <c r="R9" s="6"/>
      <c r="S9" s="98"/>
      <c r="T9" s="1"/>
      <c r="U9" s="229" t="s">
        <v>461</v>
      </c>
      <c r="V9" s="60" t="s">
        <v>461</v>
      </c>
      <c r="W9" s="1" t="s">
        <v>461</v>
      </c>
      <c r="X9" s="1"/>
      <c r="Y9" s="1">
        <v>0</v>
      </c>
      <c r="Z9" s="229" t="s">
        <v>461</v>
      </c>
      <c r="AA9" s="60" t="s">
        <v>461</v>
      </c>
      <c r="AB9" s="1" t="s">
        <v>461</v>
      </c>
      <c r="AC9" s="16"/>
    </row>
    <row r="10" spans="1:29">
      <c r="A10" s="133" t="s">
        <v>10</v>
      </c>
      <c r="B10" s="1">
        <v>19</v>
      </c>
      <c r="C10" s="1">
        <v>25</v>
      </c>
      <c r="D10" s="1" t="s">
        <v>474</v>
      </c>
      <c r="E10" s="229">
        <v>17</v>
      </c>
      <c r="F10" s="60" t="s">
        <v>527</v>
      </c>
      <c r="G10" s="1" t="s">
        <v>528</v>
      </c>
      <c r="H10" s="1"/>
      <c r="I10" s="1" t="s">
        <v>529</v>
      </c>
      <c r="J10" s="229">
        <v>17</v>
      </c>
      <c r="K10" s="60" t="s">
        <v>527</v>
      </c>
      <c r="L10" s="1" t="s">
        <v>528</v>
      </c>
      <c r="M10" s="16"/>
      <c r="N10" s="1"/>
      <c r="O10" s="1"/>
      <c r="P10" s="1"/>
      <c r="Q10" s="1"/>
      <c r="R10" s="6"/>
      <c r="S10" s="98"/>
      <c r="T10" s="1" t="s">
        <v>475</v>
      </c>
      <c r="U10" s="229">
        <v>18</v>
      </c>
      <c r="V10" s="60" t="s">
        <v>530</v>
      </c>
      <c r="W10" s="1" t="s">
        <v>268</v>
      </c>
      <c r="X10" s="1"/>
      <c r="Y10" s="1" t="s">
        <v>531</v>
      </c>
      <c r="Z10" s="229">
        <v>18</v>
      </c>
      <c r="AA10" s="60" t="s">
        <v>530</v>
      </c>
      <c r="AB10" s="1" t="s">
        <v>268</v>
      </c>
      <c r="AC10" s="16"/>
    </row>
    <row r="11" spans="1:29">
      <c r="A11" s="133" t="s">
        <v>12</v>
      </c>
      <c r="B11" s="1">
        <v>33</v>
      </c>
      <c r="C11" s="1">
        <v>42</v>
      </c>
      <c r="D11" s="1"/>
      <c r="E11" s="229" t="s">
        <v>461</v>
      </c>
      <c r="F11" s="60" t="s">
        <v>461</v>
      </c>
      <c r="G11" s="1" t="s">
        <v>461</v>
      </c>
      <c r="H11" s="1"/>
      <c r="I11" s="1">
        <v>0</v>
      </c>
      <c r="J11" s="229" t="s">
        <v>461</v>
      </c>
      <c r="K11" s="60" t="s">
        <v>461</v>
      </c>
      <c r="L11" s="1" t="s">
        <v>461</v>
      </c>
      <c r="M11" s="1"/>
      <c r="N11" s="1"/>
      <c r="O11" s="1"/>
      <c r="P11" s="1"/>
      <c r="Q11" s="1"/>
      <c r="R11" s="6"/>
      <c r="S11" s="98"/>
      <c r="T11" s="241" t="s">
        <v>476</v>
      </c>
      <c r="U11" s="242">
        <v>35</v>
      </c>
      <c r="V11" s="243" t="s">
        <v>58</v>
      </c>
      <c r="W11" s="241" t="s">
        <v>299</v>
      </c>
      <c r="X11" s="241"/>
      <c r="Y11" s="241" t="s">
        <v>56</v>
      </c>
      <c r="Z11" s="242">
        <v>35</v>
      </c>
      <c r="AA11" s="243" t="s">
        <v>58</v>
      </c>
      <c r="AB11" s="241" t="s">
        <v>299</v>
      </c>
      <c r="AC11" s="16"/>
    </row>
    <row r="12" spans="1:29">
      <c r="A12" s="133" t="s">
        <v>14</v>
      </c>
      <c r="B12" s="1">
        <v>0</v>
      </c>
      <c r="C12" s="1"/>
      <c r="D12" s="1"/>
      <c r="E12" s="229" t="s">
        <v>461</v>
      </c>
      <c r="F12" s="60" t="s">
        <v>461</v>
      </c>
      <c r="G12" s="1" t="s">
        <v>461</v>
      </c>
      <c r="H12" s="1"/>
      <c r="I12" s="1">
        <v>0</v>
      </c>
      <c r="J12" s="229" t="s">
        <v>461</v>
      </c>
      <c r="K12" s="60" t="s">
        <v>461</v>
      </c>
      <c r="L12" s="1" t="s">
        <v>461</v>
      </c>
      <c r="M12" s="1"/>
      <c r="N12" s="1"/>
      <c r="O12" s="1"/>
      <c r="P12" s="1"/>
      <c r="Q12" s="1"/>
      <c r="R12" s="6"/>
      <c r="S12" s="98"/>
      <c r="T12" s="1"/>
      <c r="U12" s="229" t="s">
        <v>461</v>
      </c>
      <c r="V12" s="60" t="s">
        <v>461</v>
      </c>
      <c r="W12" s="1" t="s">
        <v>461</v>
      </c>
      <c r="X12" s="1"/>
      <c r="Y12" s="1">
        <v>0</v>
      </c>
      <c r="Z12" s="229" t="s">
        <v>461</v>
      </c>
      <c r="AA12" s="60" t="s">
        <v>461</v>
      </c>
      <c r="AB12" s="1" t="s">
        <v>461</v>
      </c>
      <c r="AC12" s="16"/>
    </row>
    <row r="13" spans="1:29">
      <c r="A13" s="133" t="s">
        <v>15</v>
      </c>
      <c r="B13" s="1">
        <v>37</v>
      </c>
      <c r="C13" s="6">
        <v>38</v>
      </c>
      <c r="D13" s="1"/>
      <c r="E13" s="229" t="s">
        <v>461</v>
      </c>
      <c r="F13" s="60" t="s">
        <v>461</v>
      </c>
      <c r="G13" s="1" t="s">
        <v>461</v>
      </c>
      <c r="H13" s="1"/>
      <c r="I13" s="1">
        <v>0</v>
      </c>
      <c r="J13" s="229" t="s">
        <v>461</v>
      </c>
      <c r="K13" s="60" t="s">
        <v>461</v>
      </c>
      <c r="L13" s="1" t="s">
        <v>461</v>
      </c>
      <c r="M13" s="1"/>
      <c r="N13" s="1"/>
      <c r="O13" s="1"/>
      <c r="P13" s="1"/>
      <c r="Q13" s="1"/>
      <c r="R13" s="6"/>
      <c r="S13" s="98"/>
      <c r="T13" s="1"/>
      <c r="U13" s="229" t="s">
        <v>461</v>
      </c>
      <c r="V13" s="60" t="s">
        <v>461</v>
      </c>
      <c r="W13" s="1" t="s">
        <v>461</v>
      </c>
      <c r="X13" s="1"/>
      <c r="Y13" s="1">
        <v>0</v>
      </c>
      <c r="Z13" s="229" t="s">
        <v>461</v>
      </c>
      <c r="AA13" s="60" t="s">
        <v>461</v>
      </c>
      <c r="AB13" s="1" t="s">
        <v>461</v>
      </c>
      <c r="AC13" s="16"/>
    </row>
    <row r="14" spans="1:29">
      <c r="A14" s="133" t="s">
        <v>17</v>
      </c>
      <c r="B14" s="1">
        <v>36</v>
      </c>
      <c r="C14" s="6">
        <v>38</v>
      </c>
      <c r="D14" s="1"/>
      <c r="E14" s="229" t="s">
        <v>461</v>
      </c>
      <c r="F14" s="60" t="s">
        <v>461</v>
      </c>
      <c r="G14" s="1" t="s">
        <v>461</v>
      </c>
      <c r="H14" s="1"/>
      <c r="I14" s="1">
        <v>0</v>
      </c>
      <c r="J14" s="229" t="s">
        <v>461</v>
      </c>
      <c r="K14" s="60" t="s">
        <v>461</v>
      </c>
      <c r="L14" s="1" t="s">
        <v>461</v>
      </c>
      <c r="M14" s="1"/>
      <c r="N14" s="1"/>
      <c r="O14" s="1"/>
      <c r="P14" s="1"/>
      <c r="Q14" s="1"/>
      <c r="R14" s="6"/>
      <c r="S14" s="98"/>
      <c r="T14" s="1"/>
      <c r="U14" s="229" t="s">
        <v>461</v>
      </c>
      <c r="V14" s="60" t="s">
        <v>461</v>
      </c>
      <c r="W14" s="1" t="s">
        <v>461</v>
      </c>
      <c r="X14" s="1"/>
      <c r="Y14" s="1">
        <v>0</v>
      </c>
      <c r="Z14" s="229" t="s">
        <v>461</v>
      </c>
      <c r="AA14" s="60" t="s">
        <v>461</v>
      </c>
      <c r="AB14" s="1" t="s">
        <v>461</v>
      </c>
      <c r="AC14" s="16"/>
    </row>
    <row r="15" spans="1:29">
      <c r="A15" s="133" t="s">
        <v>19</v>
      </c>
      <c r="B15" s="1">
        <v>32</v>
      </c>
      <c r="C15" s="6">
        <v>34</v>
      </c>
      <c r="D15" s="1"/>
      <c r="E15" s="229" t="s">
        <v>461</v>
      </c>
      <c r="F15" s="60" t="s">
        <v>461</v>
      </c>
      <c r="G15" s="1" t="s">
        <v>461</v>
      </c>
      <c r="H15" s="1"/>
      <c r="I15" s="1">
        <v>0</v>
      </c>
      <c r="J15" s="229" t="s">
        <v>461</v>
      </c>
      <c r="K15" s="60" t="s">
        <v>461</v>
      </c>
      <c r="L15" s="1" t="s">
        <v>461</v>
      </c>
      <c r="M15" s="1"/>
      <c r="N15" s="1"/>
      <c r="O15" s="1"/>
      <c r="P15" s="1"/>
      <c r="Q15" s="1"/>
      <c r="R15" s="1"/>
      <c r="S15" s="98"/>
      <c r="T15" s="1"/>
      <c r="U15" s="229" t="s">
        <v>461</v>
      </c>
      <c r="V15" s="60" t="s">
        <v>461</v>
      </c>
      <c r="W15" s="1" t="s">
        <v>461</v>
      </c>
      <c r="X15" s="1"/>
      <c r="Y15" s="1">
        <v>0</v>
      </c>
      <c r="Z15" s="229" t="s">
        <v>461</v>
      </c>
      <c r="AA15" s="60" t="s">
        <v>461</v>
      </c>
      <c r="AB15" s="1" t="s">
        <v>461</v>
      </c>
      <c r="AC15" s="16"/>
    </row>
    <row r="16" spans="1:29">
      <c r="A16" s="133" t="s">
        <v>21</v>
      </c>
      <c r="B16" s="1">
        <v>29</v>
      </c>
      <c r="C16" s="1">
        <v>34</v>
      </c>
      <c r="D16" s="1"/>
      <c r="E16" s="229" t="s">
        <v>461</v>
      </c>
      <c r="F16" s="60" t="s">
        <v>461</v>
      </c>
      <c r="G16" s="1" t="s">
        <v>461</v>
      </c>
      <c r="H16" s="1"/>
      <c r="I16" s="1">
        <v>0</v>
      </c>
      <c r="J16" s="229" t="s">
        <v>461</v>
      </c>
      <c r="K16" s="60" t="s">
        <v>461</v>
      </c>
      <c r="L16" s="1" t="s">
        <v>461</v>
      </c>
      <c r="M16" s="1"/>
      <c r="N16" s="1"/>
      <c r="O16" s="1"/>
      <c r="P16" s="1"/>
      <c r="Q16" s="1"/>
      <c r="R16" s="1"/>
      <c r="S16" s="98"/>
      <c r="T16" s="1"/>
      <c r="U16" s="229" t="s">
        <v>461</v>
      </c>
      <c r="V16" s="60" t="s">
        <v>461</v>
      </c>
      <c r="W16" s="1" t="s">
        <v>461</v>
      </c>
      <c r="X16" s="1"/>
      <c r="Y16" s="1">
        <v>0</v>
      </c>
      <c r="Z16" s="229" t="s">
        <v>461</v>
      </c>
      <c r="AA16" s="60" t="s">
        <v>461</v>
      </c>
      <c r="AB16" s="1" t="s">
        <v>461</v>
      </c>
      <c r="AC16" s="16"/>
    </row>
    <row r="17" spans="1:29">
      <c r="A17" s="133" t="s">
        <v>23</v>
      </c>
      <c r="B17" s="1">
        <v>22</v>
      </c>
      <c r="C17" s="1">
        <v>22</v>
      </c>
      <c r="D17" s="1"/>
      <c r="E17" s="229" t="s">
        <v>461</v>
      </c>
      <c r="F17" s="60" t="s">
        <v>461</v>
      </c>
      <c r="G17" s="1" t="s">
        <v>461</v>
      </c>
      <c r="H17" s="1"/>
      <c r="I17" s="1">
        <v>0</v>
      </c>
      <c r="J17" s="229" t="s">
        <v>461</v>
      </c>
      <c r="K17" s="60" t="s">
        <v>461</v>
      </c>
      <c r="L17" s="1" t="s">
        <v>461</v>
      </c>
      <c r="M17" s="1"/>
      <c r="N17" s="1"/>
      <c r="O17" s="1"/>
      <c r="P17" s="1"/>
      <c r="Q17" s="1"/>
      <c r="R17" s="1"/>
      <c r="S17" s="98"/>
      <c r="T17" s="1"/>
      <c r="U17" s="229" t="s">
        <v>461</v>
      </c>
      <c r="V17" s="60" t="s">
        <v>461</v>
      </c>
      <c r="W17" s="1" t="s">
        <v>461</v>
      </c>
      <c r="X17" s="1"/>
      <c r="Y17" s="1">
        <v>0</v>
      </c>
      <c r="Z17" s="229" t="s">
        <v>461</v>
      </c>
      <c r="AA17" s="60" t="s">
        <v>461</v>
      </c>
      <c r="AB17" s="1" t="s">
        <v>461</v>
      </c>
      <c r="AC17" s="16"/>
    </row>
    <row r="18" spans="1:29">
      <c r="A18" s="133" t="s">
        <v>25</v>
      </c>
      <c r="B18" s="1">
        <v>29</v>
      </c>
      <c r="C18" s="1">
        <v>31</v>
      </c>
      <c r="D18" s="1"/>
      <c r="E18" s="229" t="s">
        <v>461</v>
      </c>
      <c r="F18" s="60" t="s">
        <v>461</v>
      </c>
      <c r="G18" s="1" t="s">
        <v>461</v>
      </c>
      <c r="H18" s="1"/>
      <c r="I18" s="1">
        <v>0</v>
      </c>
      <c r="J18" s="229" t="s">
        <v>461</v>
      </c>
      <c r="K18" s="60" t="s">
        <v>461</v>
      </c>
      <c r="L18" s="1" t="s">
        <v>461</v>
      </c>
      <c r="M18" s="1"/>
      <c r="N18" s="1"/>
      <c r="O18" s="1"/>
      <c r="P18" s="1"/>
      <c r="Q18" s="1"/>
      <c r="R18" s="1"/>
      <c r="S18" s="98"/>
      <c r="T18" s="1"/>
      <c r="U18" s="229" t="s">
        <v>461</v>
      </c>
      <c r="V18" s="60" t="s">
        <v>461</v>
      </c>
      <c r="W18" s="1" t="s">
        <v>461</v>
      </c>
      <c r="X18" s="1"/>
      <c r="Y18" s="1">
        <v>0</v>
      </c>
      <c r="Z18" s="229" t="s">
        <v>461</v>
      </c>
      <c r="AA18" s="60" t="s">
        <v>461</v>
      </c>
      <c r="AB18" s="1" t="s">
        <v>461</v>
      </c>
      <c r="AC18" s="16"/>
    </row>
    <row r="19" spans="1:29">
      <c r="A19" s="133" t="s">
        <v>27</v>
      </c>
      <c r="B19" s="1">
        <v>40</v>
      </c>
      <c r="C19" s="1">
        <v>42</v>
      </c>
      <c r="D19" s="1"/>
      <c r="E19" s="229" t="s">
        <v>461</v>
      </c>
      <c r="F19" s="60" t="s">
        <v>461</v>
      </c>
      <c r="G19" s="1" t="s">
        <v>461</v>
      </c>
      <c r="H19" s="1"/>
      <c r="I19" s="1">
        <v>0</v>
      </c>
      <c r="J19" s="229" t="s">
        <v>461</v>
      </c>
      <c r="K19" s="60" t="s">
        <v>461</v>
      </c>
      <c r="L19" s="1" t="s">
        <v>461</v>
      </c>
      <c r="M19" s="1"/>
      <c r="N19" s="1"/>
      <c r="O19" s="1"/>
      <c r="P19" s="1"/>
      <c r="Q19" s="1"/>
      <c r="R19" s="1"/>
      <c r="S19" s="98"/>
      <c r="T19" s="1"/>
      <c r="U19" s="229" t="s">
        <v>461</v>
      </c>
      <c r="V19" s="60" t="s">
        <v>461</v>
      </c>
      <c r="W19" s="1" t="s">
        <v>461</v>
      </c>
      <c r="X19" s="1"/>
      <c r="Y19" s="1">
        <v>0</v>
      </c>
      <c r="Z19" s="229" t="s">
        <v>461</v>
      </c>
      <c r="AA19" s="60" t="s">
        <v>461</v>
      </c>
      <c r="AB19" s="1" t="s">
        <v>461</v>
      </c>
      <c r="AC19" s="16"/>
    </row>
    <row r="20" spans="1:29">
      <c r="A20" s="133" t="s">
        <v>29</v>
      </c>
      <c r="B20" s="1">
        <v>39</v>
      </c>
      <c r="C20" s="1">
        <v>47</v>
      </c>
      <c r="D20" s="1"/>
      <c r="E20" s="229" t="s">
        <v>461</v>
      </c>
      <c r="F20" s="60" t="s">
        <v>461</v>
      </c>
      <c r="G20" s="1" t="s">
        <v>461</v>
      </c>
      <c r="H20" s="1"/>
      <c r="I20" s="1">
        <v>0</v>
      </c>
      <c r="J20" s="229" t="s">
        <v>461</v>
      </c>
      <c r="K20" s="60" t="s">
        <v>461</v>
      </c>
      <c r="L20" s="1" t="s">
        <v>461</v>
      </c>
      <c r="M20" s="1"/>
      <c r="N20" s="1"/>
      <c r="O20" s="1"/>
      <c r="P20" s="1"/>
      <c r="Q20" s="1"/>
      <c r="R20" s="1"/>
      <c r="S20" s="98"/>
      <c r="T20" s="1"/>
      <c r="U20" s="229" t="s">
        <v>461</v>
      </c>
      <c r="V20" s="60" t="s">
        <v>461</v>
      </c>
      <c r="W20" s="1" t="s">
        <v>461</v>
      </c>
      <c r="X20" s="1"/>
      <c r="Y20" s="1">
        <v>0</v>
      </c>
      <c r="Z20" s="229" t="s">
        <v>461</v>
      </c>
      <c r="AA20" s="60" t="s">
        <v>461</v>
      </c>
      <c r="AB20" s="1" t="s">
        <v>461</v>
      </c>
      <c r="AC20" s="16"/>
    </row>
    <row r="21" spans="1:29">
      <c r="A21" s="133" t="s">
        <v>31</v>
      </c>
      <c r="B21" s="1">
        <v>32</v>
      </c>
      <c r="C21" s="1">
        <v>34</v>
      </c>
      <c r="D21" s="1" t="s">
        <v>477</v>
      </c>
      <c r="E21" s="229">
        <v>22</v>
      </c>
      <c r="F21" s="60" t="s">
        <v>532</v>
      </c>
      <c r="G21" s="1" t="s">
        <v>269</v>
      </c>
      <c r="H21" s="1"/>
      <c r="I21" s="1" t="s">
        <v>533</v>
      </c>
      <c r="J21" s="229">
        <v>22</v>
      </c>
      <c r="K21" s="60" t="s">
        <v>532</v>
      </c>
      <c r="L21" s="1" t="s">
        <v>269</v>
      </c>
      <c r="M21" s="16"/>
      <c r="N21" s="1"/>
      <c r="O21" s="1"/>
      <c r="P21" s="1"/>
      <c r="Q21" s="1"/>
      <c r="R21" s="1"/>
      <c r="S21" s="98"/>
      <c r="T21" s="1"/>
      <c r="U21" s="229" t="s">
        <v>461</v>
      </c>
      <c r="V21" s="60" t="s">
        <v>461</v>
      </c>
      <c r="W21" s="1" t="s">
        <v>461</v>
      </c>
      <c r="X21" s="1"/>
      <c r="Y21" s="1">
        <v>0</v>
      </c>
      <c r="Z21" s="229" t="s">
        <v>461</v>
      </c>
      <c r="AA21" s="60" t="s">
        <v>461</v>
      </c>
      <c r="AB21" s="1" t="s">
        <v>461</v>
      </c>
      <c r="AC21" s="16"/>
    </row>
    <row r="22" spans="1:29">
      <c r="A22" s="133" t="s">
        <v>33</v>
      </c>
      <c r="B22" s="1">
        <v>0</v>
      </c>
      <c r="C22" s="1">
        <v>28</v>
      </c>
      <c r="D22" s="1"/>
      <c r="E22" s="229" t="s">
        <v>461</v>
      </c>
      <c r="F22" s="60" t="s">
        <v>461</v>
      </c>
      <c r="G22" s="1" t="s">
        <v>461</v>
      </c>
      <c r="H22" s="1"/>
      <c r="I22" s="1">
        <v>0</v>
      </c>
      <c r="J22" s="229" t="s">
        <v>461</v>
      </c>
      <c r="K22" s="60" t="s">
        <v>461</v>
      </c>
      <c r="L22" s="1" t="s">
        <v>461</v>
      </c>
      <c r="M22" s="1"/>
      <c r="N22" s="1"/>
      <c r="O22" s="1"/>
      <c r="P22" s="1"/>
      <c r="Q22" s="1"/>
      <c r="R22" s="1"/>
      <c r="S22" s="98"/>
      <c r="T22" s="1"/>
      <c r="U22" s="229" t="s">
        <v>461</v>
      </c>
      <c r="V22" s="60" t="s">
        <v>461</v>
      </c>
      <c r="W22" s="1" t="s">
        <v>461</v>
      </c>
      <c r="X22" s="1"/>
      <c r="Y22" s="1">
        <v>0</v>
      </c>
      <c r="Z22" s="229" t="s">
        <v>461</v>
      </c>
      <c r="AA22" s="60" t="s">
        <v>461</v>
      </c>
      <c r="AB22" s="1" t="s">
        <v>461</v>
      </c>
      <c r="AC22" s="16"/>
    </row>
    <row r="23" spans="1:29">
      <c r="A23" s="133" t="s">
        <v>35</v>
      </c>
      <c r="B23" s="1">
        <v>32</v>
      </c>
      <c r="C23" s="1">
        <v>32</v>
      </c>
      <c r="D23" s="1"/>
      <c r="E23" s="229" t="s">
        <v>461</v>
      </c>
      <c r="F23" s="60" t="s">
        <v>461</v>
      </c>
      <c r="G23" s="1" t="s">
        <v>461</v>
      </c>
      <c r="H23" s="1"/>
      <c r="I23" s="1">
        <v>0</v>
      </c>
      <c r="J23" s="229" t="s">
        <v>461</v>
      </c>
      <c r="K23" s="60" t="s">
        <v>461</v>
      </c>
      <c r="L23" s="1" t="s">
        <v>461</v>
      </c>
      <c r="M23" s="1"/>
      <c r="N23" s="1"/>
      <c r="O23" s="1"/>
      <c r="P23" s="1"/>
      <c r="Q23" s="1"/>
      <c r="R23" s="1"/>
      <c r="S23" s="98"/>
      <c r="T23" s="1"/>
      <c r="U23" s="229" t="s">
        <v>461</v>
      </c>
      <c r="V23" s="60" t="s">
        <v>461</v>
      </c>
      <c r="W23" s="1" t="s">
        <v>461</v>
      </c>
      <c r="X23" s="1"/>
      <c r="Y23" s="1">
        <v>0</v>
      </c>
      <c r="Z23" s="229" t="s">
        <v>461</v>
      </c>
      <c r="AA23" s="60" t="s">
        <v>461</v>
      </c>
      <c r="AB23" s="1" t="s">
        <v>461</v>
      </c>
      <c r="AC23" s="16"/>
    </row>
    <row r="24" spans="1:29">
      <c r="A24" s="133" t="s">
        <v>37</v>
      </c>
      <c r="B24" s="1">
        <v>29</v>
      </c>
      <c r="C24" s="1">
        <v>31</v>
      </c>
      <c r="D24" s="1"/>
      <c r="E24" s="229" t="s">
        <v>461</v>
      </c>
      <c r="F24" s="60" t="s">
        <v>461</v>
      </c>
      <c r="G24" s="1" t="s">
        <v>461</v>
      </c>
      <c r="H24" s="1"/>
      <c r="I24" s="1">
        <v>0</v>
      </c>
      <c r="J24" s="229" t="s">
        <v>461</v>
      </c>
      <c r="K24" s="60" t="s">
        <v>461</v>
      </c>
      <c r="L24" s="1" t="s">
        <v>461</v>
      </c>
      <c r="M24" s="1"/>
      <c r="N24" s="1"/>
      <c r="O24" s="1"/>
      <c r="P24" s="1"/>
      <c r="Q24" s="1"/>
      <c r="R24" s="1"/>
      <c r="S24" s="98"/>
      <c r="T24" s="1"/>
      <c r="U24" s="229" t="s">
        <v>461</v>
      </c>
      <c r="V24" s="60" t="s">
        <v>461</v>
      </c>
      <c r="W24" s="1">
        <v>0</v>
      </c>
      <c r="X24" s="1"/>
      <c r="Y24" s="1">
        <v>0</v>
      </c>
      <c r="Z24" s="229" t="s">
        <v>461</v>
      </c>
      <c r="AA24" s="60" t="s">
        <v>461</v>
      </c>
      <c r="AB24" s="1" t="s">
        <v>461</v>
      </c>
      <c r="AC24" s="16"/>
    </row>
    <row r="25" spans="1:29">
      <c r="A25" s="133" t="s">
        <v>39</v>
      </c>
      <c r="B25" s="1">
        <v>29</v>
      </c>
      <c r="C25" s="1">
        <v>31</v>
      </c>
      <c r="D25" s="1"/>
      <c r="E25" s="229" t="s">
        <v>461</v>
      </c>
      <c r="F25" s="60" t="s">
        <v>461</v>
      </c>
      <c r="G25" s="1" t="s">
        <v>461</v>
      </c>
      <c r="H25" s="1"/>
      <c r="I25" s="1">
        <v>0</v>
      </c>
      <c r="J25" s="229" t="s">
        <v>461</v>
      </c>
      <c r="K25" s="60" t="s">
        <v>461</v>
      </c>
      <c r="L25" s="1" t="s">
        <v>461</v>
      </c>
      <c r="M25" s="1"/>
      <c r="N25" s="1"/>
      <c r="O25" s="1"/>
      <c r="P25" s="1"/>
      <c r="Q25" s="1"/>
      <c r="R25" s="1"/>
      <c r="S25" s="98"/>
      <c r="T25" s="1"/>
      <c r="U25" s="229">
        <v>0</v>
      </c>
      <c r="V25" s="60">
        <v>0</v>
      </c>
      <c r="W25" s="1" t="s">
        <v>461</v>
      </c>
      <c r="X25" s="1"/>
      <c r="Y25" s="1">
        <v>0</v>
      </c>
      <c r="Z25" s="229" t="s">
        <v>461</v>
      </c>
      <c r="AA25" s="60" t="s">
        <v>461</v>
      </c>
      <c r="AB25" s="1" t="s">
        <v>461</v>
      </c>
      <c r="AC25" s="16"/>
    </row>
    <row r="26" spans="1:29">
      <c r="A26" s="133" t="s">
        <v>41</v>
      </c>
      <c r="B26" s="1">
        <v>29</v>
      </c>
      <c r="C26" s="1">
        <v>32</v>
      </c>
      <c r="D26" s="1"/>
      <c r="E26" s="229" t="s">
        <v>461</v>
      </c>
      <c r="F26" s="60">
        <v>0</v>
      </c>
      <c r="G26" s="1">
        <v>0</v>
      </c>
      <c r="H26" s="1"/>
      <c r="I26" s="1">
        <v>0</v>
      </c>
      <c r="J26" s="229" t="s">
        <v>461</v>
      </c>
      <c r="K26" s="60" t="s">
        <v>461</v>
      </c>
      <c r="L26" s="1" t="s">
        <v>461</v>
      </c>
      <c r="M26" s="1"/>
      <c r="N26" s="1"/>
      <c r="O26" s="1"/>
      <c r="P26" s="1"/>
      <c r="Q26" s="1"/>
      <c r="R26" s="1"/>
      <c r="S26" s="98"/>
      <c r="T26" s="1"/>
      <c r="U26" s="229">
        <v>0</v>
      </c>
      <c r="V26" s="60">
        <v>0</v>
      </c>
      <c r="W26" s="1" t="s">
        <v>461</v>
      </c>
      <c r="X26" s="1"/>
      <c r="Y26" s="1">
        <v>0</v>
      </c>
      <c r="Z26" s="229" t="s">
        <v>461</v>
      </c>
      <c r="AA26" s="60" t="s">
        <v>461</v>
      </c>
      <c r="AB26" s="1" t="s">
        <v>461</v>
      </c>
      <c r="AC26" s="16"/>
    </row>
    <row r="27" spans="1:29">
      <c r="A27" s="133" t="s">
        <v>43</v>
      </c>
      <c r="B27" s="1">
        <v>29</v>
      </c>
      <c r="C27" s="1">
        <v>33</v>
      </c>
      <c r="D27" s="1"/>
      <c r="E27" s="229">
        <v>0</v>
      </c>
      <c r="F27" s="60">
        <v>0</v>
      </c>
      <c r="G27" s="1">
        <v>0</v>
      </c>
      <c r="H27" s="1"/>
      <c r="I27" s="1">
        <v>0</v>
      </c>
      <c r="J27" s="229" t="s">
        <v>461</v>
      </c>
      <c r="K27" s="60" t="s">
        <v>461</v>
      </c>
      <c r="L27" s="1" t="s">
        <v>461</v>
      </c>
      <c r="M27" s="1"/>
      <c r="N27" s="1"/>
      <c r="O27" s="1"/>
      <c r="P27" s="1"/>
      <c r="Q27" s="1"/>
      <c r="R27" s="1"/>
      <c r="S27" s="98"/>
      <c r="T27" s="1"/>
      <c r="U27" s="229" t="s">
        <v>461</v>
      </c>
      <c r="V27" s="60">
        <v>0</v>
      </c>
      <c r="W27" s="1">
        <v>0</v>
      </c>
      <c r="X27" s="1"/>
      <c r="Y27" s="1">
        <v>0</v>
      </c>
      <c r="Z27" s="229" t="s">
        <v>461</v>
      </c>
      <c r="AA27" s="60" t="s">
        <v>461</v>
      </c>
      <c r="AB27" s="1" t="s">
        <v>461</v>
      </c>
      <c r="AC27" s="16"/>
    </row>
    <row r="28" spans="1:29">
      <c r="A28" s="133" t="s">
        <v>45</v>
      </c>
      <c r="B28" s="1">
        <v>29</v>
      </c>
      <c r="C28" s="1">
        <v>35</v>
      </c>
      <c r="D28" s="1"/>
      <c r="E28" s="229">
        <v>0</v>
      </c>
      <c r="F28" s="60">
        <v>0</v>
      </c>
      <c r="G28" s="1" t="s">
        <v>461</v>
      </c>
      <c r="H28" s="1"/>
      <c r="I28" s="1">
        <v>0</v>
      </c>
      <c r="J28" s="229" t="s">
        <v>461</v>
      </c>
      <c r="K28" s="60" t="s">
        <v>461</v>
      </c>
      <c r="L28" s="1" t="s">
        <v>461</v>
      </c>
      <c r="M28" s="1"/>
      <c r="N28" s="1"/>
      <c r="O28" s="1"/>
      <c r="P28" s="1"/>
      <c r="Q28" s="1"/>
      <c r="R28" s="1"/>
      <c r="S28" s="98"/>
      <c r="T28" s="1"/>
      <c r="U28" s="229">
        <v>0</v>
      </c>
      <c r="V28" s="60">
        <v>0</v>
      </c>
      <c r="W28" s="1">
        <v>0</v>
      </c>
      <c r="X28" s="1"/>
      <c r="Y28" s="1">
        <v>0</v>
      </c>
      <c r="Z28" s="229" t="s">
        <v>461</v>
      </c>
      <c r="AA28" s="60" t="s">
        <v>461</v>
      </c>
      <c r="AB28" s="1" t="s">
        <v>461</v>
      </c>
      <c r="AC28" s="16"/>
    </row>
    <row r="29" spans="1:29">
      <c r="A29" s="133" t="s">
        <v>51</v>
      </c>
      <c r="B29" s="1">
        <v>29</v>
      </c>
      <c r="C29" s="1">
        <v>32</v>
      </c>
      <c r="D29" s="1"/>
      <c r="E29" s="229" t="s">
        <v>461</v>
      </c>
      <c r="F29" s="60">
        <v>0</v>
      </c>
      <c r="G29" s="1">
        <v>0</v>
      </c>
      <c r="H29" s="1"/>
      <c r="I29" s="1">
        <v>0</v>
      </c>
      <c r="J29" s="229" t="s">
        <v>461</v>
      </c>
      <c r="K29" s="60" t="s">
        <v>461</v>
      </c>
      <c r="L29" s="1" t="s">
        <v>461</v>
      </c>
      <c r="M29" s="1"/>
      <c r="N29" s="1"/>
      <c r="O29" s="1"/>
      <c r="P29" s="1"/>
      <c r="Q29" s="1"/>
      <c r="R29" s="1"/>
      <c r="S29" s="98"/>
      <c r="T29" s="1" t="s">
        <v>478</v>
      </c>
      <c r="U29" s="229">
        <v>30</v>
      </c>
      <c r="V29" s="60" t="s">
        <v>534</v>
      </c>
      <c r="W29" s="1" t="s">
        <v>218</v>
      </c>
      <c r="X29" s="1"/>
      <c r="Y29" s="1" t="s">
        <v>535</v>
      </c>
      <c r="Z29" s="229">
        <v>30</v>
      </c>
      <c r="AA29" s="60" t="s">
        <v>534</v>
      </c>
      <c r="AB29" s="1" t="s">
        <v>218</v>
      </c>
      <c r="AC29" s="16"/>
    </row>
    <row r="30" spans="1:29">
      <c r="A30" s="133" t="s">
        <v>52</v>
      </c>
      <c r="B30" s="1">
        <v>29</v>
      </c>
      <c r="C30" s="1">
        <v>65</v>
      </c>
      <c r="D30" s="1"/>
      <c r="E30" s="229">
        <v>0</v>
      </c>
      <c r="F30" s="60">
        <v>0</v>
      </c>
      <c r="G30" s="1">
        <v>0</v>
      </c>
      <c r="H30" s="1"/>
      <c r="I30" s="1">
        <v>0</v>
      </c>
      <c r="J30" s="229" t="s">
        <v>461</v>
      </c>
      <c r="K30" s="60" t="s">
        <v>461</v>
      </c>
      <c r="L30" s="1" t="s">
        <v>461</v>
      </c>
      <c r="M30" s="1"/>
      <c r="N30" s="1"/>
      <c r="O30" s="1"/>
      <c r="P30" s="1"/>
      <c r="Q30" s="1"/>
      <c r="R30" s="1"/>
      <c r="S30" s="98"/>
      <c r="T30" s="67"/>
      <c r="U30" s="229">
        <v>0</v>
      </c>
      <c r="V30" s="60">
        <v>0</v>
      </c>
      <c r="W30" s="1">
        <v>0</v>
      </c>
      <c r="X30" s="67"/>
      <c r="Y30" s="1">
        <v>0</v>
      </c>
      <c r="Z30" s="229" t="s">
        <v>461</v>
      </c>
      <c r="AA30" s="60" t="s">
        <v>461</v>
      </c>
      <c r="AB30" s="1" t="s">
        <v>461</v>
      </c>
      <c r="AC30" s="18"/>
    </row>
    <row r="31" spans="1:29">
      <c r="A31" s="133" t="s">
        <v>50</v>
      </c>
      <c r="B31" s="1">
        <v>29</v>
      </c>
      <c r="C31" s="1">
        <v>30</v>
      </c>
      <c r="D31" s="1"/>
      <c r="E31" s="229">
        <v>0</v>
      </c>
      <c r="F31" s="60">
        <v>0</v>
      </c>
      <c r="G31" s="1">
        <v>0</v>
      </c>
      <c r="H31" s="1"/>
      <c r="I31" s="1">
        <v>0</v>
      </c>
      <c r="J31" s="229" t="s">
        <v>461</v>
      </c>
      <c r="K31" s="60" t="s">
        <v>461</v>
      </c>
      <c r="L31" s="1" t="s">
        <v>461</v>
      </c>
      <c r="M31" s="1"/>
      <c r="N31" s="1"/>
      <c r="O31" s="1"/>
      <c r="P31" s="1"/>
      <c r="Q31" s="1"/>
      <c r="R31" s="1"/>
      <c r="S31" s="98"/>
      <c r="T31" s="1"/>
      <c r="U31" s="229">
        <v>0</v>
      </c>
      <c r="V31" s="60">
        <v>0</v>
      </c>
      <c r="W31" s="1">
        <v>0</v>
      </c>
      <c r="X31" s="1"/>
      <c r="Y31" s="1">
        <v>0</v>
      </c>
      <c r="Z31" s="229" t="s">
        <v>461</v>
      </c>
      <c r="AA31" s="60" t="s">
        <v>461</v>
      </c>
      <c r="AB31" s="1" t="s">
        <v>461</v>
      </c>
      <c r="AC31" s="16"/>
    </row>
    <row r="32" spans="1:29">
      <c r="A32" s="133" t="s">
        <v>53</v>
      </c>
      <c r="B32" s="1">
        <v>29</v>
      </c>
      <c r="C32" s="1">
        <v>34</v>
      </c>
      <c r="D32" s="1" t="s">
        <v>479</v>
      </c>
      <c r="E32" s="229">
        <v>14</v>
      </c>
      <c r="F32" s="60" t="s">
        <v>536</v>
      </c>
      <c r="G32" s="1" t="s">
        <v>267</v>
      </c>
      <c r="H32" s="1"/>
      <c r="I32" s="1" t="s">
        <v>537</v>
      </c>
      <c r="J32" s="229">
        <v>14</v>
      </c>
      <c r="K32" s="60" t="s">
        <v>536</v>
      </c>
      <c r="L32" s="1" t="s">
        <v>267</v>
      </c>
      <c r="M32" s="1"/>
      <c r="N32" s="1"/>
      <c r="O32" s="1"/>
      <c r="P32" s="1"/>
      <c r="Q32" s="1"/>
      <c r="R32" s="1"/>
      <c r="S32" s="98"/>
      <c r="T32" s="1"/>
      <c r="U32" s="229">
        <v>0</v>
      </c>
      <c r="V32" s="60">
        <v>0</v>
      </c>
      <c r="W32" s="1">
        <v>0</v>
      </c>
      <c r="X32" s="1"/>
      <c r="Y32" s="1">
        <v>0</v>
      </c>
      <c r="Z32" s="229" t="s">
        <v>461</v>
      </c>
      <c r="AA32" s="60" t="s">
        <v>461</v>
      </c>
      <c r="AB32" s="1" t="s">
        <v>461</v>
      </c>
      <c r="AC32" s="16"/>
    </row>
    <row r="33" spans="1:30">
      <c r="A33" s="133" t="s">
        <v>48</v>
      </c>
      <c r="B33" s="1"/>
      <c r="C33" s="1">
        <v>84</v>
      </c>
      <c r="D33" s="1" t="s">
        <v>480</v>
      </c>
      <c r="E33" s="229">
        <v>38</v>
      </c>
      <c r="F33" s="60" t="s">
        <v>538</v>
      </c>
      <c r="G33" s="1" t="s">
        <v>539</v>
      </c>
      <c r="H33" s="1"/>
      <c r="I33" s="1" t="s">
        <v>540</v>
      </c>
      <c r="J33" s="229">
        <v>38</v>
      </c>
      <c r="K33" s="60" t="s">
        <v>538</v>
      </c>
      <c r="L33" s="1" t="s">
        <v>539</v>
      </c>
      <c r="M33" s="1"/>
      <c r="N33" s="1"/>
      <c r="O33" s="1"/>
      <c r="P33" s="1"/>
      <c r="Q33" s="1"/>
      <c r="R33" s="1"/>
      <c r="S33" s="98"/>
      <c r="T33" s="236" t="s">
        <v>481</v>
      </c>
      <c r="U33" s="237">
        <v>19</v>
      </c>
      <c r="V33" s="238" t="s">
        <v>541</v>
      </c>
      <c r="W33" s="236" t="s">
        <v>542</v>
      </c>
      <c r="X33" s="236"/>
      <c r="Y33" s="236" t="s">
        <v>543</v>
      </c>
      <c r="Z33" s="237">
        <v>19</v>
      </c>
      <c r="AA33" s="238" t="s">
        <v>541</v>
      </c>
      <c r="AB33" s="236" t="s">
        <v>542</v>
      </c>
      <c r="AC33" s="240"/>
    </row>
    <row r="34" spans="1:30">
      <c r="A34" s="133"/>
      <c r="B34" s="1"/>
      <c r="C34" s="1"/>
      <c r="D34" s="1"/>
      <c r="E34" s="229"/>
      <c r="F34" s="60"/>
      <c r="G34" s="1"/>
      <c r="H34" s="1"/>
      <c r="I34" s="1"/>
      <c r="J34" s="229"/>
      <c r="K34" s="60"/>
      <c r="L34" s="1"/>
      <c r="M34" s="1"/>
      <c r="N34" s="1"/>
      <c r="O34" s="1"/>
      <c r="P34" s="1"/>
      <c r="Q34" s="1"/>
      <c r="R34" s="1"/>
      <c r="S34" s="98"/>
      <c r="T34" s="236" t="s">
        <v>482</v>
      </c>
      <c r="U34" s="237">
        <v>31</v>
      </c>
      <c r="V34" s="238" t="s">
        <v>541</v>
      </c>
      <c r="W34" s="236" t="s">
        <v>542</v>
      </c>
      <c r="X34" s="236"/>
      <c r="Y34" s="236" t="s">
        <v>544</v>
      </c>
      <c r="Z34" s="237">
        <v>31</v>
      </c>
      <c r="AA34" s="238" t="s">
        <v>541</v>
      </c>
      <c r="AB34" s="236" t="s">
        <v>542</v>
      </c>
      <c r="AC34" s="240"/>
    </row>
    <row r="35" spans="1:30">
      <c r="A35" s="133" t="s">
        <v>49</v>
      </c>
      <c r="B35" s="1">
        <v>29</v>
      </c>
      <c r="C35" s="1">
        <v>30</v>
      </c>
      <c r="D35" s="1"/>
      <c r="E35" s="229">
        <v>0</v>
      </c>
      <c r="F35" s="60">
        <v>0</v>
      </c>
      <c r="G35" s="1">
        <v>0</v>
      </c>
      <c r="H35" s="1"/>
      <c r="I35" s="1">
        <v>0</v>
      </c>
      <c r="J35" s="229" t="s">
        <v>461</v>
      </c>
      <c r="K35" s="60" t="s">
        <v>461</v>
      </c>
      <c r="L35" s="1" t="s">
        <v>461</v>
      </c>
      <c r="M35" s="1"/>
      <c r="N35" s="1"/>
      <c r="O35" s="1"/>
      <c r="P35" s="1"/>
      <c r="Q35" s="1"/>
      <c r="R35" s="1"/>
      <c r="S35" s="98"/>
      <c r="T35" s="67"/>
      <c r="U35" s="229">
        <v>0</v>
      </c>
      <c r="V35" s="60">
        <v>0</v>
      </c>
      <c r="W35" s="1">
        <v>0</v>
      </c>
      <c r="X35" s="67"/>
      <c r="Y35" s="1">
        <v>0</v>
      </c>
      <c r="Z35" s="229" t="s">
        <v>461</v>
      </c>
      <c r="AA35" s="60" t="s">
        <v>461</v>
      </c>
      <c r="AB35" s="1" t="s">
        <v>461</v>
      </c>
      <c r="AC35" s="18"/>
      <c r="AD35" s="244"/>
    </row>
    <row r="36" spans="1:30">
      <c r="A36" s="133" t="s">
        <v>47</v>
      </c>
      <c r="B36" s="1"/>
      <c r="C36" s="1">
        <v>111</v>
      </c>
      <c r="D36" s="245" t="s">
        <v>483</v>
      </c>
      <c r="E36" s="246">
        <v>19</v>
      </c>
      <c r="F36" s="247" t="s">
        <v>541</v>
      </c>
      <c r="G36" s="245" t="s">
        <v>542</v>
      </c>
      <c r="H36" s="245"/>
      <c r="I36" s="245" t="s">
        <v>545</v>
      </c>
      <c r="J36" s="246">
        <v>19</v>
      </c>
      <c r="K36" s="247" t="s">
        <v>541</v>
      </c>
      <c r="L36" s="245" t="s">
        <v>542</v>
      </c>
      <c r="M36" s="1"/>
      <c r="N36" s="1"/>
      <c r="O36" s="1"/>
      <c r="P36" s="1"/>
      <c r="Q36" s="1"/>
      <c r="R36" s="1"/>
      <c r="S36" s="98"/>
      <c r="T36" s="98" t="s">
        <v>484</v>
      </c>
      <c r="U36" s="248"/>
      <c r="V36" s="99"/>
      <c r="W36" s="98"/>
      <c r="X36" s="98"/>
      <c r="Y36" s="98"/>
      <c r="Z36" s="248"/>
      <c r="AA36" s="99"/>
      <c r="AB36" s="98"/>
      <c r="AC36" s="235"/>
      <c r="AD36" s="244"/>
    </row>
    <row r="37" spans="1:30">
      <c r="A37" s="133"/>
      <c r="B37" s="1"/>
      <c r="C37" s="1"/>
      <c r="D37" s="245" t="s">
        <v>485</v>
      </c>
      <c r="E37" s="246">
        <v>31</v>
      </c>
      <c r="F37" s="247" t="s">
        <v>541</v>
      </c>
      <c r="G37" s="245" t="s">
        <v>542</v>
      </c>
      <c r="H37" s="245"/>
      <c r="I37" s="245" t="s">
        <v>546</v>
      </c>
      <c r="J37" s="246">
        <v>31</v>
      </c>
      <c r="K37" s="247" t="s">
        <v>541</v>
      </c>
      <c r="L37" s="245" t="s">
        <v>542</v>
      </c>
      <c r="M37" s="1"/>
      <c r="N37" s="1"/>
      <c r="O37" s="1"/>
      <c r="P37" s="1"/>
      <c r="Q37" s="1"/>
      <c r="R37" s="1"/>
      <c r="S37" s="98"/>
      <c r="T37" s="98"/>
      <c r="U37" s="248"/>
      <c r="V37" s="99"/>
      <c r="W37" s="98"/>
      <c r="X37" s="98"/>
      <c r="Y37" s="98"/>
      <c r="Z37" s="248"/>
      <c r="AA37" s="99"/>
      <c r="AB37" s="98"/>
      <c r="AC37" s="235"/>
    </row>
  </sheetData>
  <phoneticPr fontId="2" type="noConversion"/>
  <pageMargins left="0.23622047244094491" right="0.23622047244094491" top="0.74803149606299213" bottom="0.74803149606299213" header="0.31496062992125984" footer="0.31496062992125984"/>
  <pageSetup paperSize="8" scale="72" orientation="landscape" r:id="rId1"/>
  <headerFooter>
    <oddHeader>&amp;LWednesday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6BDA7-33D5-4D0F-8975-64CADBE0358E}">
  <sheetPr>
    <tabColor theme="5" tint="0.39997558519241921"/>
    <pageSetUpPr fitToPage="1"/>
  </sheetPr>
  <dimension ref="A1:AC35"/>
  <sheetViews>
    <sheetView zoomScale="40" zoomScaleNormal="40" workbookViewId="0">
      <pane xSplit="3" ySplit="2" topLeftCell="D3" activePane="bottomRight" state="frozen"/>
      <selection activeCell="I16" sqref="I16"/>
      <selection pane="topRight" activeCell="I16" sqref="I16"/>
      <selection pane="bottomLeft" activeCell="I16" sqref="I16"/>
      <selection pane="bottomRight" activeCell="AK19" sqref="AK19"/>
    </sheetView>
  </sheetViews>
  <sheetFormatPr defaultRowHeight="16.5"/>
  <cols>
    <col min="4" max="4" width="11.25" customWidth="1"/>
    <col min="6" max="6" width="22.5" style="147" bestFit="1" customWidth="1"/>
    <col min="7" max="7" width="18.125" customWidth="1"/>
    <col min="9" max="9" width="12.25" customWidth="1"/>
    <col min="10" max="10" width="5.75" style="262" bestFit="1" customWidth="1"/>
    <col min="11" max="11" width="22.5" style="147" bestFit="1" customWidth="1"/>
    <col min="12" max="12" width="16.875" bestFit="1" customWidth="1"/>
    <col min="13" max="13" width="9" customWidth="1"/>
    <col min="14" max="18" width="9" hidden="1" customWidth="1"/>
    <col min="19" max="19" width="3.75" customWidth="1"/>
    <col min="22" max="22" width="31.5" style="147" bestFit="1" customWidth="1"/>
    <col min="23" max="23" width="13.25" bestFit="1" customWidth="1"/>
    <col min="27" max="27" width="31.5" style="147" bestFit="1" customWidth="1"/>
    <col min="28" max="28" width="16.875" bestFit="1" customWidth="1"/>
  </cols>
  <sheetData>
    <row r="1" spans="1:29">
      <c r="A1" s="133" t="s">
        <v>306</v>
      </c>
      <c r="B1" s="133"/>
      <c r="C1" s="133"/>
      <c r="D1" s="224" t="s">
        <v>307</v>
      </c>
      <c r="E1" s="133"/>
      <c r="F1" s="225"/>
      <c r="G1" s="133"/>
      <c r="H1" s="133"/>
      <c r="I1" s="224" t="s">
        <v>308</v>
      </c>
      <c r="J1" s="133"/>
      <c r="K1" s="225"/>
      <c r="L1" s="133"/>
      <c r="M1" s="133"/>
      <c r="N1" s="224" t="s">
        <v>309</v>
      </c>
      <c r="O1" s="133"/>
      <c r="P1" s="133"/>
      <c r="Q1" s="133"/>
      <c r="R1" s="133"/>
      <c r="S1" s="226"/>
      <c r="T1" s="224" t="s">
        <v>310</v>
      </c>
      <c r="U1" s="133"/>
      <c r="V1" s="225"/>
      <c r="W1" s="133"/>
      <c r="X1" s="224"/>
      <c r="Y1" s="224" t="s">
        <v>311</v>
      </c>
      <c r="Z1" s="133"/>
      <c r="AA1" s="225"/>
      <c r="AB1" s="133"/>
      <c r="AC1" s="227"/>
    </row>
    <row r="2" spans="1:29" ht="25.5">
      <c r="A2" s="49" t="s">
        <v>312</v>
      </c>
      <c r="B2" s="49" t="s">
        <v>313</v>
      </c>
      <c r="C2" s="49" t="s">
        <v>314</v>
      </c>
      <c r="D2" s="49" t="s">
        <v>315</v>
      </c>
      <c r="E2" s="228" t="s">
        <v>463</v>
      </c>
      <c r="F2" s="52" t="s">
        <v>317</v>
      </c>
      <c r="G2" s="49" t="s">
        <v>318</v>
      </c>
      <c r="H2" s="49" t="s">
        <v>283</v>
      </c>
      <c r="I2" s="49" t="s">
        <v>315</v>
      </c>
      <c r="J2" s="228" t="s">
        <v>463</v>
      </c>
      <c r="K2" s="52" t="s">
        <v>317</v>
      </c>
      <c r="L2" s="49" t="s">
        <v>318</v>
      </c>
      <c r="M2" s="49" t="s">
        <v>283</v>
      </c>
      <c r="N2" s="49" t="s">
        <v>315</v>
      </c>
      <c r="O2" s="228" t="s">
        <v>463</v>
      </c>
      <c r="P2" s="49" t="s">
        <v>317</v>
      </c>
      <c r="Q2" s="49" t="s">
        <v>318</v>
      </c>
      <c r="R2" s="49" t="s">
        <v>283</v>
      </c>
      <c r="S2" s="98"/>
      <c r="T2" s="49" t="s">
        <v>315</v>
      </c>
      <c r="U2" s="228" t="s">
        <v>463</v>
      </c>
      <c r="V2" s="52" t="s">
        <v>317</v>
      </c>
      <c r="W2" s="49" t="s">
        <v>318</v>
      </c>
      <c r="X2" s="49" t="s">
        <v>283</v>
      </c>
      <c r="Y2" s="49" t="s">
        <v>315</v>
      </c>
      <c r="Z2" s="228" t="s">
        <v>463</v>
      </c>
      <c r="AA2" s="52" t="s">
        <v>317</v>
      </c>
      <c r="AB2" s="49" t="s">
        <v>318</v>
      </c>
      <c r="AC2" s="49" t="s">
        <v>283</v>
      </c>
    </row>
    <row r="3" spans="1:29">
      <c r="A3" s="133" t="s">
        <v>0</v>
      </c>
      <c r="B3" s="1">
        <v>44</v>
      </c>
      <c r="C3" s="1">
        <v>48</v>
      </c>
      <c r="D3" s="67" t="s">
        <v>486</v>
      </c>
      <c r="E3" s="249">
        <v>30</v>
      </c>
      <c r="F3" s="71" t="s">
        <v>517</v>
      </c>
      <c r="G3" s="67" t="s">
        <v>547</v>
      </c>
      <c r="H3" s="67"/>
      <c r="I3" s="249" t="s">
        <v>548</v>
      </c>
      <c r="J3" s="249">
        <v>30</v>
      </c>
      <c r="K3" s="71" t="s">
        <v>517</v>
      </c>
      <c r="L3" s="67" t="s">
        <v>547</v>
      </c>
      <c r="M3" s="1"/>
      <c r="N3" s="1"/>
      <c r="O3" s="1"/>
      <c r="P3" s="1"/>
      <c r="Q3" s="1"/>
      <c r="R3" s="1"/>
      <c r="S3" s="98"/>
      <c r="T3" s="1" t="s">
        <v>487</v>
      </c>
      <c r="U3" s="249">
        <v>22</v>
      </c>
      <c r="V3" s="71" t="s">
        <v>549</v>
      </c>
      <c r="W3" s="67" t="s">
        <v>550</v>
      </c>
      <c r="X3" s="67"/>
      <c r="Y3" s="1" t="s">
        <v>551</v>
      </c>
      <c r="Z3" s="249">
        <v>22</v>
      </c>
      <c r="AA3" s="71" t="s">
        <v>549</v>
      </c>
      <c r="AB3" s="67" t="s">
        <v>550</v>
      </c>
      <c r="AC3" s="16"/>
    </row>
    <row r="4" spans="1:29">
      <c r="A4" s="133" t="s">
        <v>2</v>
      </c>
      <c r="B4" s="1">
        <v>42</v>
      </c>
      <c r="C4" s="1">
        <v>48</v>
      </c>
      <c r="D4" s="67" t="s">
        <v>488</v>
      </c>
      <c r="E4" s="249">
        <v>35</v>
      </c>
      <c r="F4" s="71" t="s">
        <v>552</v>
      </c>
      <c r="G4" s="67" t="s">
        <v>553</v>
      </c>
      <c r="H4" s="67"/>
      <c r="I4" s="249" t="s">
        <v>554</v>
      </c>
      <c r="J4" s="249">
        <v>35</v>
      </c>
      <c r="K4" s="71" t="s">
        <v>552</v>
      </c>
      <c r="L4" s="67" t="s">
        <v>553</v>
      </c>
      <c r="M4" s="1"/>
      <c r="N4" s="1"/>
      <c r="O4" s="1"/>
      <c r="P4" s="1"/>
      <c r="Q4" s="1"/>
      <c r="R4" s="1"/>
      <c r="S4" s="98"/>
      <c r="T4" s="1" t="s">
        <v>489</v>
      </c>
      <c r="U4" s="249">
        <v>35</v>
      </c>
      <c r="V4" s="71" t="s">
        <v>552</v>
      </c>
      <c r="W4" s="67" t="s">
        <v>553</v>
      </c>
      <c r="X4" s="1"/>
      <c r="Y4" s="1" t="s">
        <v>555</v>
      </c>
      <c r="Z4" s="249">
        <v>35</v>
      </c>
      <c r="AA4" s="71" t="s">
        <v>552</v>
      </c>
      <c r="AB4" s="67" t="s">
        <v>553</v>
      </c>
      <c r="AC4" s="16"/>
    </row>
    <row r="5" spans="1:29">
      <c r="A5" s="133" t="s">
        <v>4</v>
      </c>
      <c r="B5" s="1">
        <v>44</v>
      </c>
      <c r="C5" s="1">
        <v>78</v>
      </c>
      <c r="D5" s="49" t="s">
        <v>490</v>
      </c>
      <c r="E5" s="234">
        <v>37</v>
      </c>
      <c r="F5" s="52" t="s">
        <v>327</v>
      </c>
      <c r="G5" s="49" t="s">
        <v>266</v>
      </c>
      <c r="H5" s="49"/>
      <c r="I5" s="234" t="s">
        <v>556</v>
      </c>
      <c r="J5" s="234">
        <v>37</v>
      </c>
      <c r="K5" s="52" t="s">
        <v>327</v>
      </c>
      <c r="L5" s="49" t="s">
        <v>266</v>
      </c>
      <c r="M5" s="49"/>
      <c r="N5" s="1"/>
      <c r="O5" s="1"/>
      <c r="P5" s="1"/>
      <c r="Q5" s="1"/>
      <c r="R5" s="16"/>
      <c r="S5" s="235"/>
      <c r="T5" s="49" t="s">
        <v>491</v>
      </c>
      <c r="U5" s="234">
        <v>37</v>
      </c>
      <c r="V5" s="52" t="s">
        <v>327</v>
      </c>
      <c r="W5" s="49" t="s">
        <v>248</v>
      </c>
      <c r="X5" s="49" t="s">
        <v>295</v>
      </c>
      <c r="Y5" s="49" t="s">
        <v>557</v>
      </c>
      <c r="Z5" s="234">
        <v>37</v>
      </c>
      <c r="AA5" s="52" t="s">
        <v>327</v>
      </c>
      <c r="AB5" s="49" t="s">
        <v>248</v>
      </c>
      <c r="AC5" s="49" t="s">
        <v>296</v>
      </c>
    </row>
    <row r="6" spans="1:29">
      <c r="A6" s="133"/>
      <c r="B6" s="1"/>
      <c r="C6" s="1"/>
      <c r="D6" s="49" t="s">
        <v>492</v>
      </c>
      <c r="E6" s="234">
        <v>33</v>
      </c>
      <c r="F6" s="52" t="s">
        <v>327</v>
      </c>
      <c r="G6" s="49" t="s">
        <v>266</v>
      </c>
      <c r="H6" s="49"/>
      <c r="I6" s="234" t="s">
        <v>558</v>
      </c>
      <c r="J6" s="234">
        <v>33</v>
      </c>
      <c r="K6" s="52" t="s">
        <v>327</v>
      </c>
      <c r="L6" s="49" t="s">
        <v>266</v>
      </c>
      <c r="M6" s="49"/>
      <c r="N6" s="1"/>
      <c r="O6" s="1"/>
      <c r="P6" s="1"/>
      <c r="Q6" s="1"/>
      <c r="R6" s="16"/>
      <c r="S6" s="235"/>
      <c r="T6" s="49" t="s">
        <v>493</v>
      </c>
      <c r="U6" s="234">
        <v>36</v>
      </c>
      <c r="V6" s="52" t="s">
        <v>327</v>
      </c>
      <c r="W6" s="49" t="s">
        <v>266</v>
      </c>
      <c r="X6" s="49" t="s">
        <v>295</v>
      </c>
      <c r="Y6" s="49" t="s">
        <v>559</v>
      </c>
      <c r="Z6" s="234">
        <v>36</v>
      </c>
      <c r="AA6" s="52" t="s">
        <v>327</v>
      </c>
      <c r="AB6" s="49" t="s">
        <v>266</v>
      </c>
      <c r="AC6" s="49"/>
    </row>
    <row r="7" spans="1:29">
      <c r="A7" s="133" t="s">
        <v>6</v>
      </c>
      <c r="B7" s="1">
        <v>45</v>
      </c>
      <c r="C7" s="1">
        <v>53</v>
      </c>
      <c r="D7" s="250" t="s">
        <v>494</v>
      </c>
      <c r="E7" s="251">
        <v>35</v>
      </c>
      <c r="F7" s="252" t="s">
        <v>58</v>
      </c>
      <c r="G7" s="250" t="s">
        <v>169</v>
      </c>
      <c r="H7" s="250"/>
      <c r="I7" s="251" t="s">
        <v>61</v>
      </c>
      <c r="J7" s="251">
        <v>35</v>
      </c>
      <c r="K7" s="252" t="s">
        <v>58</v>
      </c>
      <c r="L7" s="250" t="s">
        <v>169</v>
      </c>
      <c r="M7" s="250"/>
      <c r="N7" s="1"/>
      <c r="O7" s="1"/>
      <c r="P7" s="1"/>
      <c r="Q7" s="1"/>
      <c r="R7" s="16"/>
      <c r="S7" s="235"/>
      <c r="T7" s="1" t="s">
        <v>495</v>
      </c>
      <c r="U7" s="249">
        <v>38</v>
      </c>
      <c r="V7" s="71" t="s">
        <v>560</v>
      </c>
      <c r="W7" s="67" t="s">
        <v>222</v>
      </c>
      <c r="X7" s="1"/>
      <c r="Y7" s="1" t="s">
        <v>561</v>
      </c>
      <c r="Z7" s="249">
        <v>38</v>
      </c>
      <c r="AA7" s="71" t="s">
        <v>560</v>
      </c>
      <c r="AB7" s="67" t="s">
        <v>222</v>
      </c>
      <c r="AC7" s="16"/>
    </row>
    <row r="8" spans="1:29">
      <c r="A8" s="133" t="s">
        <v>8</v>
      </c>
      <c r="B8" s="1">
        <v>27</v>
      </c>
      <c r="C8" s="1">
        <v>25</v>
      </c>
      <c r="D8" s="67"/>
      <c r="E8" s="249" t="s">
        <v>461</v>
      </c>
      <c r="F8" s="71" t="s">
        <v>461</v>
      </c>
      <c r="G8" s="67" t="s">
        <v>461</v>
      </c>
      <c r="H8" s="67"/>
      <c r="I8" s="249">
        <v>0</v>
      </c>
      <c r="J8" s="249" t="s">
        <v>461</v>
      </c>
      <c r="K8" s="71" t="s">
        <v>461</v>
      </c>
      <c r="L8" s="67" t="s">
        <v>461</v>
      </c>
      <c r="M8" s="67"/>
      <c r="N8" s="1"/>
      <c r="O8" s="1"/>
      <c r="P8" s="1"/>
      <c r="Q8" s="1"/>
      <c r="R8" s="1"/>
      <c r="S8" s="98"/>
      <c r="T8" s="1"/>
      <c r="U8" s="249" t="s">
        <v>461</v>
      </c>
      <c r="V8" s="71" t="s">
        <v>461</v>
      </c>
      <c r="W8" s="67" t="s">
        <v>461</v>
      </c>
      <c r="X8" s="1"/>
      <c r="Y8" s="1">
        <v>0</v>
      </c>
      <c r="Z8" s="249" t="s">
        <v>461</v>
      </c>
      <c r="AA8" s="71" t="s">
        <v>461</v>
      </c>
      <c r="AB8" s="67" t="s">
        <v>461</v>
      </c>
      <c r="AC8" s="16"/>
    </row>
    <row r="9" spans="1:29">
      <c r="A9" s="133" t="s">
        <v>10</v>
      </c>
      <c r="B9" s="1">
        <v>19</v>
      </c>
      <c r="C9" s="1">
        <v>25</v>
      </c>
      <c r="D9" s="67"/>
      <c r="E9" s="249" t="s">
        <v>461</v>
      </c>
      <c r="F9" s="71" t="s">
        <v>461</v>
      </c>
      <c r="G9" s="67" t="s">
        <v>461</v>
      </c>
      <c r="H9" s="67"/>
      <c r="I9" s="249">
        <v>0</v>
      </c>
      <c r="J9" s="249" t="s">
        <v>461</v>
      </c>
      <c r="K9" s="71" t="s">
        <v>461</v>
      </c>
      <c r="L9" s="67" t="s">
        <v>461</v>
      </c>
      <c r="M9" s="67"/>
      <c r="N9" s="1"/>
      <c r="O9" s="1"/>
      <c r="P9" s="1"/>
      <c r="Q9" s="1"/>
      <c r="R9" s="1"/>
      <c r="S9" s="98"/>
      <c r="T9" s="1" t="s">
        <v>496</v>
      </c>
      <c r="U9" s="249">
        <v>11</v>
      </c>
      <c r="V9" s="71" t="s">
        <v>562</v>
      </c>
      <c r="W9" s="67" t="s">
        <v>563</v>
      </c>
      <c r="X9" s="1"/>
      <c r="Y9" s="1" t="s">
        <v>564</v>
      </c>
      <c r="Z9" s="249">
        <v>11</v>
      </c>
      <c r="AA9" s="71" t="s">
        <v>562</v>
      </c>
      <c r="AB9" s="67" t="s">
        <v>563</v>
      </c>
      <c r="AC9" s="16"/>
    </row>
    <row r="10" spans="1:29">
      <c r="A10" s="133" t="s">
        <v>12</v>
      </c>
      <c r="B10" s="1">
        <v>33</v>
      </c>
      <c r="C10" s="1">
        <v>42</v>
      </c>
      <c r="D10" s="67"/>
      <c r="E10" s="249" t="s">
        <v>461</v>
      </c>
      <c r="F10" s="253"/>
      <c r="G10" s="67"/>
      <c r="H10" s="67"/>
      <c r="I10" s="249">
        <v>0</v>
      </c>
      <c r="J10" s="249"/>
      <c r="K10" s="253"/>
      <c r="L10" s="67"/>
      <c r="M10" s="67"/>
      <c r="N10" s="1"/>
      <c r="O10" s="1"/>
      <c r="P10" s="1"/>
      <c r="Q10" s="1"/>
      <c r="R10" s="1"/>
      <c r="S10" s="98"/>
      <c r="T10" s="249"/>
      <c r="U10" s="249" t="s">
        <v>461</v>
      </c>
      <c r="V10" s="71" t="s">
        <v>461</v>
      </c>
      <c r="W10" s="67" t="s">
        <v>461</v>
      </c>
      <c r="X10" s="1"/>
      <c r="Y10" s="1">
        <v>0</v>
      </c>
      <c r="Z10" s="249" t="s">
        <v>461</v>
      </c>
      <c r="AA10" s="71" t="s">
        <v>461</v>
      </c>
      <c r="AB10" s="67" t="s">
        <v>461</v>
      </c>
      <c r="AC10" s="16"/>
    </row>
    <row r="11" spans="1:29">
      <c r="A11" s="133" t="s">
        <v>14</v>
      </c>
      <c r="B11" s="1">
        <v>0</v>
      </c>
      <c r="C11" s="1"/>
      <c r="D11" s="67"/>
      <c r="E11" s="249" t="s">
        <v>461</v>
      </c>
      <c r="F11" s="71" t="s">
        <v>461</v>
      </c>
      <c r="G11" s="67" t="s">
        <v>461</v>
      </c>
      <c r="H11" s="67"/>
      <c r="I11" s="249">
        <v>0</v>
      </c>
      <c r="J11" s="249" t="s">
        <v>461</v>
      </c>
      <c r="K11" s="71" t="s">
        <v>461</v>
      </c>
      <c r="L11" s="67" t="s">
        <v>461</v>
      </c>
      <c r="M11" s="1"/>
      <c r="N11" s="1"/>
      <c r="O11" s="1"/>
      <c r="P11" s="1"/>
      <c r="Q11" s="1"/>
      <c r="R11" s="1"/>
      <c r="S11" s="98"/>
      <c r="T11" s="1"/>
      <c r="U11" s="249" t="s">
        <v>461</v>
      </c>
      <c r="V11" s="71" t="s">
        <v>461</v>
      </c>
      <c r="W11" s="67" t="s">
        <v>461</v>
      </c>
      <c r="X11" s="1"/>
      <c r="Y11" s="1">
        <v>0</v>
      </c>
      <c r="Z11" s="249" t="s">
        <v>461</v>
      </c>
      <c r="AA11" s="71" t="s">
        <v>461</v>
      </c>
      <c r="AB11" s="67" t="s">
        <v>461</v>
      </c>
      <c r="AC11" s="16"/>
    </row>
    <row r="12" spans="1:29">
      <c r="A12" s="133" t="s">
        <v>15</v>
      </c>
      <c r="B12" s="1">
        <v>37</v>
      </c>
      <c r="C12" s="6">
        <v>38</v>
      </c>
      <c r="D12" s="67"/>
      <c r="E12" s="249" t="s">
        <v>461</v>
      </c>
      <c r="F12" s="71" t="s">
        <v>461</v>
      </c>
      <c r="G12" s="67" t="s">
        <v>461</v>
      </c>
      <c r="H12" s="67"/>
      <c r="I12" s="249">
        <v>0</v>
      </c>
      <c r="J12" s="249" t="s">
        <v>461</v>
      </c>
      <c r="K12" s="71" t="s">
        <v>461</v>
      </c>
      <c r="L12" s="67" t="s">
        <v>461</v>
      </c>
      <c r="M12" s="1"/>
      <c r="N12" s="1"/>
      <c r="O12" s="1"/>
      <c r="P12" s="1"/>
      <c r="Q12" s="1"/>
      <c r="R12" s="1"/>
      <c r="S12" s="98"/>
      <c r="T12" s="1"/>
      <c r="U12" s="249" t="s">
        <v>461</v>
      </c>
      <c r="V12" s="71" t="s">
        <v>461</v>
      </c>
      <c r="W12" s="67" t="s">
        <v>461</v>
      </c>
      <c r="X12" s="1"/>
      <c r="Y12" s="1">
        <v>0</v>
      </c>
      <c r="Z12" s="249" t="s">
        <v>461</v>
      </c>
      <c r="AA12" s="71" t="s">
        <v>461</v>
      </c>
      <c r="AB12" s="67" t="s">
        <v>461</v>
      </c>
      <c r="AC12" s="16"/>
    </row>
    <row r="13" spans="1:29">
      <c r="A13" s="133" t="s">
        <v>17</v>
      </c>
      <c r="B13" s="1">
        <v>36</v>
      </c>
      <c r="C13" s="6">
        <v>38</v>
      </c>
      <c r="D13" s="67"/>
      <c r="E13" s="249" t="s">
        <v>461</v>
      </c>
      <c r="F13" s="71" t="s">
        <v>461</v>
      </c>
      <c r="G13" s="67" t="s">
        <v>461</v>
      </c>
      <c r="H13" s="67"/>
      <c r="I13" s="249">
        <v>0</v>
      </c>
      <c r="J13" s="249" t="s">
        <v>461</v>
      </c>
      <c r="K13" s="71" t="s">
        <v>461</v>
      </c>
      <c r="L13" s="67" t="s">
        <v>461</v>
      </c>
      <c r="M13" s="1"/>
      <c r="N13" s="1"/>
      <c r="O13" s="1"/>
      <c r="P13" s="1"/>
      <c r="Q13" s="1"/>
      <c r="R13" s="1"/>
      <c r="S13" s="98"/>
      <c r="T13" s="1"/>
      <c r="U13" s="249" t="s">
        <v>461</v>
      </c>
      <c r="V13" s="71" t="s">
        <v>461</v>
      </c>
      <c r="W13" s="67" t="s">
        <v>461</v>
      </c>
      <c r="X13" s="1"/>
      <c r="Y13" s="1">
        <v>0</v>
      </c>
      <c r="Z13" s="249" t="s">
        <v>461</v>
      </c>
      <c r="AA13" s="71" t="s">
        <v>461</v>
      </c>
      <c r="AB13" s="67" t="s">
        <v>461</v>
      </c>
      <c r="AC13" s="16"/>
    </row>
    <row r="14" spans="1:29">
      <c r="A14" s="133" t="s">
        <v>19</v>
      </c>
      <c r="B14" s="1">
        <v>32</v>
      </c>
      <c r="C14" s="6">
        <v>34</v>
      </c>
      <c r="D14" s="67"/>
      <c r="E14" s="249" t="s">
        <v>461</v>
      </c>
      <c r="F14" s="71" t="s">
        <v>461</v>
      </c>
      <c r="G14" s="67" t="s">
        <v>461</v>
      </c>
      <c r="H14" s="67"/>
      <c r="I14" s="249">
        <v>0</v>
      </c>
      <c r="J14" s="249" t="s">
        <v>461</v>
      </c>
      <c r="K14" s="71" t="s">
        <v>461</v>
      </c>
      <c r="L14" s="67" t="s">
        <v>461</v>
      </c>
      <c r="M14" s="1"/>
      <c r="N14" s="1"/>
      <c r="O14" s="1"/>
      <c r="P14" s="1"/>
      <c r="Q14" s="1"/>
      <c r="R14" s="1"/>
      <c r="S14" s="98"/>
      <c r="T14" s="1"/>
      <c r="U14" s="249" t="s">
        <v>461</v>
      </c>
      <c r="V14" s="71" t="s">
        <v>461</v>
      </c>
      <c r="W14" s="67" t="s">
        <v>461</v>
      </c>
      <c r="X14" s="1"/>
      <c r="Y14" s="1">
        <v>0</v>
      </c>
      <c r="Z14" s="249" t="s">
        <v>461</v>
      </c>
      <c r="AA14" s="71" t="s">
        <v>461</v>
      </c>
      <c r="AB14" s="67" t="s">
        <v>461</v>
      </c>
      <c r="AC14" s="16"/>
    </row>
    <row r="15" spans="1:29">
      <c r="A15" s="133" t="s">
        <v>21</v>
      </c>
      <c r="B15" s="1">
        <v>29</v>
      </c>
      <c r="C15" s="1">
        <v>34</v>
      </c>
      <c r="D15" s="67"/>
      <c r="E15" s="249" t="s">
        <v>461</v>
      </c>
      <c r="F15" s="71" t="s">
        <v>461</v>
      </c>
      <c r="G15" s="67" t="s">
        <v>461</v>
      </c>
      <c r="H15" s="67"/>
      <c r="I15" s="249">
        <v>0</v>
      </c>
      <c r="J15" s="249" t="s">
        <v>461</v>
      </c>
      <c r="K15" s="71" t="s">
        <v>461</v>
      </c>
      <c r="L15" s="67" t="s">
        <v>461</v>
      </c>
      <c r="M15" s="1"/>
      <c r="N15" s="1"/>
      <c r="O15" s="1"/>
      <c r="P15" s="1"/>
      <c r="Q15" s="1"/>
      <c r="R15" s="1"/>
      <c r="S15" s="98"/>
      <c r="T15" s="1"/>
      <c r="U15" s="249" t="s">
        <v>461</v>
      </c>
      <c r="V15" s="71" t="s">
        <v>461</v>
      </c>
      <c r="W15" s="67" t="s">
        <v>461</v>
      </c>
      <c r="X15" s="1"/>
      <c r="Y15" s="1">
        <v>0</v>
      </c>
      <c r="Z15" s="249" t="s">
        <v>461</v>
      </c>
      <c r="AA15" s="71" t="s">
        <v>461</v>
      </c>
      <c r="AB15" s="67" t="s">
        <v>461</v>
      </c>
      <c r="AC15" s="16"/>
    </row>
    <row r="16" spans="1:29">
      <c r="A16" s="133" t="s">
        <v>23</v>
      </c>
      <c r="B16" s="1">
        <v>22</v>
      </c>
      <c r="C16" s="1">
        <v>22</v>
      </c>
      <c r="D16" s="67"/>
      <c r="E16" s="249" t="s">
        <v>461</v>
      </c>
      <c r="F16" s="71" t="s">
        <v>461</v>
      </c>
      <c r="G16" s="67" t="s">
        <v>461</v>
      </c>
      <c r="H16" s="67"/>
      <c r="I16" s="249">
        <v>0</v>
      </c>
      <c r="J16" s="249" t="s">
        <v>461</v>
      </c>
      <c r="K16" s="71" t="s">
        <v>461</v>
      </c>
      <c r="L16" s="67" t="s">
        <v>461</v>
      </c>
      <c r="M16" s="1"/>
      <c r="N16" s="1"/>
      <c r="O16" s="1"/>
      <c r="P16" s="1"/>
      <c r="Q16" s="1"/>
      <c r="R16" s="1"/>
      <c r="S16" s="98"/>
      <c r="T16" s="1"/>
      <c r="U16" s="249" t="s">
        <v>461</v>
      </c>
      <c r="V16" s="71" t="s">
        <v>461</v>
      </c>
      <c r="W16" s="67" t="s">
        <v>461</v>
      </c>
      <c r="X16" s="1"/>
      <c r="Y16" s="1">
        <v>0</v>
      </c>
      <c r="Z16" s="249" t="s">
        <v>461</v>
      </c>
      <c r="AA16" s="71" t="s">
        <v>461</v>
      </c>
      <c r="AB16" s="67" t="s">
        <v>461</v>
      </c>
      <c r="AC16" s="16"/>
    </row>
    <row r="17" spans="1:29">
      <c r="A17" s="133" t="s">
        <v>25</v>
      </c>
      <c r="B17" s="1">
        <v>29</v>
      </c>
      <c r="C17" s="1">
        <v>31</v>
      </c>
      <c r="D17" s="67"/>
      <c r="E17" s="249" t="s">
        <v>461</v>
      </c>
      <c r="F17" s="71" t="s">
        <v>461</v>
      </c>
      <c r="G17" s="67" t="s">
        <v>461</v>
      </c>
      <c r="H17" s="67"/>
      <c r="I17" s="249">
        <v>0</v>
      </c>
      <c r="J17" s="249" t="s">
        <v>461</v>
      </c>
      <c r="K17" s="71" t="s">
        <v>461</v>
      </c>
      <c r="L17" s="67" t="s">
        <v>461</v>
      </c>
      <c r="M17" s="1"/>
      <c r="N17" s="1"/>
      <c r="O17" s="1"/>
      <c r="P17" s="1"/>
      <c r="Q17" s="1"/>
      <c r="R17" s="1"/>
      <c r="S17" s="98"/>
      <c r="T17" s="1"/>
      <c r="U17" s="249" t="s">
        <v>461</v>
      </c>
      <c r="V17" s="71" t="s">
        <v>461</v>
      </c>
      <c r="W17" s="67" t="s">
        <v>461</v>
      </c>
      <c r="X17" s="1"/>
      <c r="Y17" s="1">
        <v>0</v>
      </c>
      <c r="Z17" s="249" t="s">
        <v>461</v>
      </c>
      <c r="AA17" s="71" t="s">
        <v>461</v>
      </c>
      <c r="AB17" s="67" t="s">
        <v>461</v>
      </c>
      <c r="AC17" s="16"/>
    </row>
    <row r="18" spans="1:29">
      <c r="A18" s="133" t="s">
        <v>27</v>
      </c>
      <c r="B18" s="1">
        <v>40</v>
      </c>
      <c r="C18" s="1">
        <v>43</v>
      </c>
      <c r="D18" s="67"/>
      <c r="E18" s="249" t="s">
        <v>461</v>
      </c>
      <c r="F18" s="71" t="s">
        <v>461</v>
      </c>
      <c r="G18" s="67" t="s">
        <v>461</v>
      </c>
      <c r="H18" s="67"/>
      <c r="I18" s="249">
        <v>0</v>
      </c>
      <c r="J18" s="249" t="s">
        <v>461</v>
      </c>
      <c r="K18" s="71" t="s">
        <v>461</v>
      </c>
      <c r="L18" s="67" t="s">
        <v>461</v>
      </c>
      <c r="M18" s="1"/>
      <c r="N18" s="1"/>
      <c r="O18" s="1"/>
      <c r="P18" s="1"/>
      <c r="Q18" s="1"/>
      <c r="R18" s="1"/>
      <c r="S18" s="98"/>
      <c r="T18" s="1"/>
      <c r="U18" s="249" t="s">
        <v>461</v>
      </c>
      <c r="V18" s="71" t="s">
        <v>461</v>
      </c>
      <c r="W18" s="67" t="s">
        <v>461</v>
      </c>
      <c r="X18" s="1"/>
      <c r="Y18" s="1">
        <v>0</v>
      </c>
      <c r="Z18" s="249" t="s">
        <v>461</v>
      </c>
      <c r="AA18" s="71" t="s">
        <v>461</v>
      </c>
      <c r="AB18" s="67" t="s">
        <v>461</v>
      </c>
      <c r="AC18" s="16"/>
    </row>
    <row r="19" spans="1:29">
      <c r="A19" s="133" t="s">
        <v>29</v>
      </c>
      <c r="B19" s="1">
        <v>39</v>
      </c>
      <c r="C19" s="1">
        <v>48</v>
      </c>
      <c r="D19" s="67"/>
      <c r="E19" s="249" t="s">
        <v>461</v>
      </c>
      <c r="F19" s="71" t="s">
        <v>461</v>
      </c>
      <c r="G19" s="67" t="s">
        <v>461</v>
      </c>
      <c r="H19" s="67"/>
      <c r="I19" s="249">
        <v>0</v>
      </c>
      <c r="J19" s="249" t="s">
        <v>461</v>
      </c>
      <c r="K19" s="71" t="s">
        <v>461</v>
      </c>
      <c r="L19" s="67" t="s">
        <v>461</v>
      </c>
      <c r="M19" s="1"/>
      <c r="N19" s="1"/>
      <c r="O19" s="1"/>
      <c r="P19" s="1"/>
      <c r="Q19" s="1"/>
      <c r="R19" s="1"/>
      <c r="S19" s="98"/>
      <c r="T19" s="1"/>
      <c r="U19" s="249" t="s">
        <v>461</v>
      </c>
      <c r="V19" s="71" t="s">
        <v>461</v>
      </c>
      <c r="W19" s="67" t="s">
        <v>461</v>
      </c>
      <c r="X19" s="1"/>
      <c r="Y19" s="1">
        <v>0</v>
      </c>
      <c r="Z19" s="249" t="s">
        <v>461</v>
      </c>
      <c r="AA19" s="71" t="s">
        <v>461</v>
      </c>
      <c r="AB19" s="67" t="s">
        <v>461</v>
      </c>
      <c r="AC19" s="16"/>
    </row>
    <row r="20" spans="1:29">
      <c r="A20" s="133" t="s">
        <v>31</v>
      </c>
      <c r="B20" s="1">
        <v>32</v>
      </c>
      <c r="C20" s="1">
        <v>34</v>
      </c>
      <c r="D20" s="67"/>
      <c r="E20" s="249" t="s">
        <v>461</v>
      </c>
      <c r="F20" s="71" t="s">
        <v>461</v>
      </c>
      <c r="G20" s="67" t="s">
        <v>461</v>
      </c>
      <c r="H20" s="67"/>
      <c r="I20" s="249">
        <v>0</v>
      </c>
      <c r="J20" s="249" t="s">
        <v>461</v>
      </c>
      <c r="K20" s="71" t="s">
        <v>461</v>
      </c>
      <c r="L20" s="67" t="s">
        <v>461</v>
      </c>
      <c r="M20" s="1"/>
      <c r="N20" s="1"/>
      <c r="O20" s="1"/>
      <c r="P20" s="1"/>
      <c r="Q20" s="1"/>
      <c r="R20" s="1"/>
      <c r="S20" s="98"/>
      <c r="T20" s="1"/>
      <c r="U20" s="249" t="s">
        <v>461</v>
      </c>
      <c r="V20" s="71" t="s">
        <v>461</v>
      </c>
      <c r="W20" s="67" t="s">
        <v>461</v>
      </c>
      <c r="X20" s="1"/>
      <c r="Y20" s="1">
        <v>0</v>
      </c>
      <c r="Z20" s="249" t="s">
        <v>461</v>
      </c>
      <c r="AA20" s="71" t="s">
        <v>461</v>
      </c>
      <c r="AB20" s="67" t="s">
        <v>461</v>
      </c>
      <c r="AC20" s="16"/>
    </row>
    <row r="21" spans="1:29">
      <c r="A21" s="133" t="s">
        <v>33</v>
      </c>
      <c r="B21" s="1">
        <v>0</v>
      </c>
      <c r="C21" s="1">
        <v>28</v>
      </c>
      <c r="D21" s="67"/>
      <c r="E21" s="249" t="s">
        <v>461</v>
      </c>
      <c r="F21" s="71" t="s">
        <v>461</v>
      </c>
      <c r="G21" s="67" t="s">
        <v>461</v>
      </c>
      <c r="H21" s="67"/>
      <c r="I21" s="249">
        <v>0</v>
      </c>
      <c r="J21" s="249" t="s">
        <v>461</v>
      </c>
      <c r="K21" s="71" t="s">
        <v>461</v>
      </c>
      <c r="L21" s="67" t="s">
        <v>461</v>
      </c>
      <c r="M21" s="1"/>
      <c r="N21" s="1"/>
      <c r="O21" s="1"/>
      <c r="P21" s="1"/>
      <c r="Q21" s="1"/>
      <c r="R21" s="1"/>
      <c r="S21" s="98"/>
      <c r="T21" s="1"/>
      <c r="U21" s="249" t="s">
        <v>461</v>
      </c>
      <c r="V21" s="71" t="s">
        <v>461</v>
      </c>
      <c r="W21" s="67" t="s">
        <v>461</v>
      </c>
      <c r="X21" s="1"/>
      <c r="Y21" s="1">
        <v>0</v>
      </c>
      <c r="Z21" s="249" t="s">
        <v>461</v>
      </c>
      <c r="AA21" s="71" t="s">
        <v>461</v>
      </c>
      <c r="AB21" s="67" t="s">
        <v>461</v>
      </c>
      <c r="AC21" s="16"/>
    </row>
    <row r="22" spans="1:29">
      <c r="A22" s="133" t="s">
        <v>35</v>
      </c>
      <c r="B22" s="1">
        <v>32</v>
      </c>
      <c r="C22" s="1">
        <v>32</v>
      </c>
      <c r="D22" s="67"/>
      <c r="E22" s="249" t="s">
        <v>461</v>
      </c>
      <c r="F22" s="71" t="s">
        <v>461</v>
      </c>
      <c r="G22" s="67" t="s">
        <v>461</v>
      </c>
      <c r="H22" s="67"/>
      <c r="I22" s="249">
        <v>0</v>
      </c>
      <c r="J22" s="249" t="s">
        <v>461</v>
      </c>
      <c r="K22" s="71" t="s">
        <v>461</v>
      </c>
      <c r="L22" s="67" t="s">
        <v>461</v>
      </c>
      <c r="M22" s="1"/>
      <c r="N22" s="1"/>
      <c r="O22" s="1"/>
      <c r="P22" s="1"/>
      <c r="Q22" s="1"/>
      <c r="R22" s="1"/>
      <c r="S22" s="98"/>
      <c r="T22" s="1"/>
      <c r="U22" s="249" t="s">
        <v>461</v>
      </c>
      <c r="V22" s="71" t="s">
        <v>461</v>
      </c>
      <c r="W22" s="67" t="s">
        <v>461</v>
      </c>
      <c r="X22" s="1"/>
      <c r="Y22" s="1">
        <v>0</v>
      </c>
      <c r="Z22" s="249" t="s">
        <v>461</v>
      </c>
      <c r="AA22" s="71" t="s">
        <v>461</v>
      </c>
      <c r="AB22" s="67" t="s">
        <v>461</v>
      </c>
      <c r="AC22" s="16"/>
    </row>
    <row r="23" spans="1:29">
      <c r="A23" s="133" t="s">
        <v>37</v>
      </c>
      <c r="B23" s="1">
        <v>29</v>
      </c>
      <c r="C23" s="1">
        <v>31</v>
      </c>
      <c r="D23" s="67"/>
      <c r="E23" s="249" t="s">
        <v>461</v>
      </c>
      <c r="F23" s="71" t="s">
        <v>461</v>
      </c>
      <c r="G23" s="67" t="s">
        <v>461</v>
      </c>
      <c r="H23" s="67"/>
      <c r="I23" s="249">
        <v>0</v>
      </c>
      <c r="J23" s="249" t="s">
        <v>461</v>
      </c>
      <c r="K23" s="71" t="s">
        <v>461</v>
      </c>
      <c r="L23" s="67" t="s">
        <v>461</v>
      </c>
      <c r="M23" s="1"/>
      <c r="N23" s="1"/>
      <c r="O23" s="1"/>
      <c r="P23" s="1"/>
      <c r="Q23" s="1"/>
      <c r="R23" s="1"/>
      <c r="S23" s="98"/>
      <c r="T23" s="1"/>
      <c r="U23" s="249">
        <v>0</v>
      </c>
      <c r="V23" s="71" t="s">
        <v>461</v>
      </c>
      <c r="W23" s="67" t="s">
        <v>461</v>
      </c>
      <c r="X23" s="1"/>
      <c r="Y23" s="1">
        <v>0</v>
      </c>
      <c r="Z23" s="249" t="s">
        <v>461</v>
      </c>
      <c r="AA23" s="71" t="s">
        <v>461</v>
      </c>
      <c r="AB23" s="67" t="s">
        <v>461</v>
      </c>
      <c r="AC23" s="16"/>
    </row>
    <row r="24" spans="1:29">
      <c r="A24" s="133" t="s">
        <v>39</v>
      </c>
      <c r="B24" s="1">
        <v>29</v>
      </c>
      <c r="C24" s="1">
        <v>33</v>
      </c>
      <c r="D24" s="67"/>
      <c r="E24" s="249" t="s">
        <v>461</v>
      </c>
      <c r="F24" s="71" t="s">
        <v>461</v>
      </c>
      <c r="G24" s="67">
        <v>0</v>
      </c>
      <c r="H24" s="67"/>
      <c r="I24" s="249">
        <v>0</v>
      </c>
      <c r="J24" s="249" t="s">
        <v>461</v>
      </c>
      <c r="K24" s="71" t="s">
        <v>461</v>
      </c>
      <c r="L24" s="67" t="s">
        <v>461</v>
      </c>
      <c r="M24" s="1"/>
      <c r="N24" s="1"/>
      <c r="O24" s="1"/>
      <c r="P24" s="1"/>
      <c r="Q24" s="1"/>
      <c r="R24" s="1"/>
      <c r="S24" s="98"/>
      <c r="T24" s="1"/>
      <c r="U24" s="249" t="s">
        <v>461</v>
      </c>
      <c r="V24" s="71" t="s">
        <v>461</v>
      </c>
      <c r="W24" s="67">
        <v>0</v>
      </c>
      <c r="X24" s="1"/>
      <c r="Y24" s="1">
        <v>0</v>
      </c>
      <c r="Z24" s="249" t="s">
        <v>461</v>
      </c>
      <c r="AA24" s="71" t="s">
        <v>461</v>
      </c>
      <c r="AB24" s="67" t="s">
        <v>461</v>
      </c>
      <c r="AC24" s="16"/>
    </row>
    <row r="25" spans="1:29">
      <c r="A25" s="133" t="s">
        <v>41</v>
      </c>
      <c r="B25" s="1">
        <v>29</v>
      </c>
      <c r="C25" s="1">
        <v>31</v>
      </c>
      <c r="D25" s="67"/>
      <c r="E25" s="249" t="s">
        <v>461</v>
      </c>
      <c r="F25" s="71">
        <v>0</v>
      </c>
      <c r="G25" s="67">
        <v>0</v>
      </c>
      <c r="H25" s="67"/>
      <c r="I25" s="249">
        <v>0</v>
      </c>
      <c r="J25" s="249" t="s">
        <v>461</v>
      </c>
      <c r="K25" s="71" t="s">
        <v>461</v>
      </c>
      <c r="L25" s="67" t="s">
        <v>461</v>
      </c>
      <c r="M25" s="1"/>
      <c r="N25" s="1"/>
      <c r="O25" s="1"/>
      <c r="P25" s="1"/>
      <c r="Q25" s="1"/>
      <c r="R25" s="1"/>
      <c r="S25" s="98"/>
      <c r="T25" s="1"/>
      <c r="U25" s="249" t="s">
        <v>461</v>
      </c>
      <c r="V25" s="71">
        <v>0</v>
      </c>
      <c r="W25" s="67">
        <v>0</v>
      </c>
      <c r="X25" s="1"/>
      <c r="Y25" s="1">
        <v>0</v>
      </c>
      <c r="Z25" s="249" t="s">
        <v>461</v>
      </c>
      <c r="AA25" s="71" t="s">
        <v>461</v>
      </c>
      <c r="AB25" s="67" t="s">
        <v>461</v>
      </c>
      <c r="AC25" s="16"/>
    </row>
    <row r="26" spans="1:29">
      <c r="A26" s="133" t="s">
        <v>43</v>
      </c>
      <c r="B26" s="1">
        <v>29</v>
      </c>
      <c r="C26" s="1">
        <v>31</v>
      </c>
      <c r="D26" s="67"/>
      <c r="E26" s="249" t="s">
        <v>461</v>
      </c>
      <c r="F26" s="71" t="s">
        <v>461</v>
      </c>
      <c r="G26" s="67" t="s">
        <v>461</v>
      </c>
      <c r="H26" s="67"/>
      <c r="I26" s="249">
        <v>0</v>
      </c>
      <c r="J26" s="249" t="s">
        <v>461</v>
      </c>
      <c r="K26" s="71" t="s">
        <v>461</v>
      </c>
      <c r="L26" s="67" t="s">
        <v>461</v>
      </c>
      <c r="M26" s="1"/>
      <c r="N26" s="1"/>
      <c r="O26" s="1"/>
      <c r="P26" s="1"/>
      <c r="Q26" s="1"/>
      <c r="R26" s="1"/>
      <c r="S26" s="98"/>
      <c r="T26" s="1"/>
      <c r="U26" s="249">
        <v>0</v>
      </c>
      <c r="V26" s="71" t="s">
        <v>461</v>
      </c>
      <c r="W26" s="67" t="s">
        <v>461</v>
      </c>
      <c r="X26" s="1"/>
      <c r="Y26" s="1">
        <v>0</v>
      </c>
      <c r="Z26" s="249" t="s">
        <v>461</v>
      </c>
      <c r="AA26" s="71" t="s">
        <v>461</v>
      </c>
      <c r="AB26" s="67" t="s">
        <v>461</v>
      </c>
      <c r="AC26" s="16"/>
    </row>
    <row r="27" spans="1:29">
      <c r="A27" s="133" t="s">
        <v>45</v>
      </c>
      <c r="B27" s="1">
        <v>29</v>
      </c>
      <c r="C27" s="1">
        <v>33</v>
      </c>
      <c r="D27" s="67"/>
      <c r="E27" s="249" t="s">
        <v>461</v>
      </c>
      <c r="F27" s="71">
        <v>0</v>
      </c>
      <c r="G27" s="67">
        <v>0</v>
      </c>
      <c r="H27" s="67"/>
      <c r="I27" s="249">
        <v>0</v>
      </c>
      <c r="J27" s="249" t="s">
        <v>461</v>
      </c>
      <c r="K27" s="71" t="s">
        <v>461</v>
      </c>
      <c r="L27" s="67" t="s">
        <v>461</v>
      </c>
      <c r="M27" s="1"/>
      <c r="N27" s="1"/>
      <c r="O27" s="1"/>
      <c r="P27" s="1"/>
      <c r="Q27" s="1"/>
      <c r="R27" s="1"/>
      <c r="S27" s="98"/>
      <c r="T27" s="1"/>
      <c r="U27" s="249" t="s">
        <v>461</v>
      </c>
      <c r="V27" s="71" t="s">
        <v>461</v>
      </c>
      <c r="W27" s="67" t="s">
        <v>461</v>
      </c>
      <c r="X27" s="1"/>
      <c r="Y27" s="1">
        <v>0</v>
      </c>
      <c r="Z27" s="249" t="s">
        <v>461</v>
      </c>
      <c r="AA27" s="71" t="s">
        <v>461</v>
      </c>
      <c r="AB27" s="67" t="s">
        <v>461</v>
      </c>
      <c r="AC27" s="16"/>
    </row>
    <row r="28" spans="1:29">
      <c r="A28" s="133" t="s">
        <v>51</v>
      </c>
      <c r="B28" s="1">
        <v>29</v>
      </c>
      <c r="C28" s="1">
        <v>32</v>
      </c>
      <c r="D28" s="67" t="s">
        <v>497</v>
      </c>
      <c r="E28" s="249">
        <v>31</v>
      </c>
      <c r="F28" s="71" t="s">
        <v>565</v>
      </c>
      <c r="G28" s="67" t="s">
        <v>566</v>
      </c>
      <c r="H28" s="67"/>
      <c r="I28" s="249" t="s">
        <v>567</v>
      </c>
      <c r="J28" s="249">
        <v>31</v>
      </c>
      <c r="K28" s="71" t="s">
        <v>565</v>
      </c>
      <c r="L28" s="67" t="s">
        <v>566</v>
      </c>
      <c r="M28" s="1"/>
      <c r="N28" s="1"/>
      <c r="O28" s="1"/>
      <c r="P28" s="1"/>
      <c r="Q28" s="1"/>
      <c r="R28" s="1"/>
      <c r="S28" s="98"/>
      <c r="T28" s="1"/>
      <c r="U28" s="229" t="s">
        <v>461</v>
      </c>
      <c r="V28" s="60">
        <v>0</v>
      </c>
      <c r="W28" s="1">
        <v>0</v>
      </c>
      <c r="X28" s="1"/>
      <c r="Y28" s="1">
        <v>0</v>
      </c>
      <c r="Z28" s="229" t="s">
        <v>461</v>
      </c>
      <c r="AA28" s="60" t="s">
        <v>461</v>
      </c>
      <c r="AB28" s="1" t="s">
        <v>461</v>
      </c>
      <c r="AC28" s="16"/>
    </row>
    <row r="29" spans="1:29">
      <c r="A29" s="133" t="s">
        <v>52</v>
      </c>
      <c r="B29" s="1">
        <v>29</v>
      </c>
      <c r="C29" s="1">
        <v>65</v>
      </c>
      <c r="D29" s="67" t="s">
        <v>498</v>
      </c>
      <c r="E29" s="249">
        <v>25</v>
      </c>
      <c r="F29" s="71" t="s">
        <v>568</v>
      </c>
      <c r="G29" s="67" t="s">
        <v>219</v>
      </c>
      <c r="H29" s="67"/>
      <c r="I29" s="249" t="s">
        <v>569</v>
      </c>
      <c r="J29" s="249">
        <v>25</v>
      </c>
      <c r="K29" s="71" t="s">
        <v>568</v>
      </c>
      <c r="L29" s="67" t="s">
        <v>219</v>
      </c>
      <c r="M29" s="1"/>
      <c r="N29" s="1"/>
      <c r="O29" s="1"/>
      <c r="P29" s="1"/>
      <c r="Q29" s="1"/>
      <c r="R29" s="1"/>
      <c r="S29" s="98"/>
      <c r="T29" s="254" t="s">
        <v>484</v>
      </c>
      <c r="U29" s="255" t="s">
        <v>461</v>
      </c>
      <c r="V29" s="256" t="s">
        <v>461</v>
      </c>
      <c r="W29" s="254" t="s">
        <v>461</v>
      </c>
      <c r="X29" s="254"/>
      <c r="Y29" s="254" t="s">
        <v>570</v>
      </c>
      <c r="Z29" s="255" t="s">
        <v>461</v>
      </c>
      <c r="AA29" s="256" t="s">
        <v>461</v>
      </c>
      <c r="AB29" s="254" t="s">
        <v>461</v>
      </c>
      <c r="AC29" s="257"/>
    </row>
    <row r="30" spans="1:29">
      <c r="A30" s="133" t="s">
        <v>50</v>
      </c>
      <c r="B30" s="1">
        <v>29</v>
      </c>
      <c r="C30" s="1">
        <v>30</v>
      </c>
      <c r="D30" s="67" t="s">
        <v>499</v>
      </c>
      <c r="E30" s="249">
        <v>14</v>
      </c>
      <c r="F30" s="71" t="s">
        <v>571</v>
      </c>
      <c r="G30" s="67" t="s">
        <v>572</v>
      </c>
      <c r="H30" s="67"/>
      <c r="I30" s="249" t="s">
        <v>573</v>
      </c>
      <c r="J30" s="249">
        <v>14</v>
      </c>
      <c r="K30" s="71" t="s">
        <v>571</v>
      </c>
      <c r="L30" s="67" t="s">
        <v>572</v>
      </c>
      <c r="M30" s="1"/>
      <c r="N30" s="1"/>
      <c r="O30" s="1"/>
      <c r="P30" s="1"/>
      <c r="Q30" s="1"/>
      <c r="R30" s="1"/>
      <c r="S30" s="98"/>
      <c r="T30" s="254" t="s">
        <v>484</v>
      </c>
      <c r="U30" s="255" t="s">
        <v>461</v>
      </c>
      <c r="V30" s="256" t="s">
        <v>461</v>
      </c>
      <c r="W30" s="254" t="s">
        <v>461</v>
      </c>
      <c r="X30" s="254"/>
      <c r="Y30" s="254" t="s">
        <v>570</v>
      </c>
      <c r="Z30" s="255" t="s">
        <v>461</v>
      </c>
      <c r="AA30" s="256" t="s">
        <v>461</v>
      </c>
      <c r="AB30" s="254" t="s">
        <v>461</v>
      </c>
      <c r="AC30" s="257"/>
    </row>
    <row r="31" spans="1:29">
      <c r="A31" s="133" t="s">
        <v>53</v>
      </c>
      <c r="B31" s="1">
        <v>29</v>
      </c>
      <c r="C31" s="1">
        <v>34</v>
      </c>
      <c r="D31" s="67" t="s">
        <v>500</v>
      </c>
      <c r="E31" s="249">
        <v>30</v>
      </c>
      <c r="F31" s="71" t="s">
        <v>574</v>
      </c>
      <c r="G31" s="67" t="s">
        <v>252</v>
      </c>
      <c r="H31" s="67"/>
      <c r="I31" s="249" t="s">
        <v>575</v>
      </c>
      <c r="J31" s="249">
        <v>30</v>
      </c>
      <c r="K31" s="71" t="s">
        <v>574</v>
      </c>
      <c r="L31" s="67" t="s">
        <v>252</v>
      </c>
      <c r="M31" s="67"/>
      <c r="N31" s="1"/>
      <c r="O31" s="1"/>
      <c r="P31" s="1"/>
      <c r="Q31" s="1"/>
      <c r="R31" s="1"/>
      <c r="S31" s="98"/>
      <c r="T31" s="1" t="s">
        <v>501</v>
      </c>
      <c r="U31" s="229">
        <v>18</v>
      </c>
      <c r="V31" s="60" t="s">
        <v>576</v>
      </c>
      <c r="W31" s="1" t="s">
        <v>539</v>
      </c>
      <c r="X31" s="1"/>
      <c r="Y31" s="1" t="s">
        <v>577</v>
      </c>
      <c r="Z31" s="229">
        <v>18</v>
      </c>
      <c r="AA31" s="60" t="s">
        <v>576</v>
      </c>
      <c r="AB31" s="1" t="s">
        <v>539</v>
      </c>
      <c r="AC31" s="16"/>
    </row>
    <row r="32" spans="1:29">
      <c r="A32" s="133" t="s">
        <v>48</v>
      </c>
      <c r="B32" s="1"/>
      <c r="C32" s="1">
        <v>84</v>
      </c>
      <c r="D32" s="67" t="s">
        <v>502</v>
      </c>
      <c r="E32" s="249">
        <v>38</v>
      </c>
      <c r="F32" s="71" t="s">
        <v>578</v>
      </c>
      <c r="G32" s="67" t="s">
        <v>579</v>
      </c>
      <c r="H32" s="67"/>
      <c r="I32" s="249" t="s">
        <v>580</v>
      </c>
      <c r="J32" s="249">
        <v>38</v>
      </c>
      <c r="K32" s="71" t="s">
        <v>578</v>
      </c>
      <c r="L32" s="67" t="s">
        <v>579</v>
      </c>
      <c r="M32" s="1"/>
      <c r="N32" s="1"/>
      <c r="O32" s="1"/>
      <c r="P32" s="1"/>
      <c r="Q32" s="1"/>
      <c r="R32" s="16"/>
      <c r="S32" s="98"/>
      <c r="T32" s="258" t="s">
        <v>503</v>
      </c>
      <c r="U32" s="259">
        <v>23</v>
      </c>
      <c r="V32" s="260" t="s">
        <v>581</v>
      </c>
      <c r="W32" s="258" t="s">
        <v>268</v>
      </c>
      <c r="X32" s="258"/>
      <c r="Y32" s="258" t="s">
        <v>582</v>
      </c>
      <c r="Z32" s="259">
        <v>23</v>
      </c>
      <c r="AA32" s="260" t="s">
        <v>581</v>
      </c>
      <c r="AB32" s="258" t="s">
        <v>268</v>
      </c>
      <c r="AC32" s="261"/>
    </row>
    <row r="33" spans="1:29">
      <c r="A33" s="133"/>
      <c r="B33" s="1"/>
      <c r="C33" s="1"/>
      <c r="D33" s="67"/>
      <c r="E33" s="249"/>
      <c r="F33" s="71"/>
      <c r="G33" s="67"/>
      <c r="H33" s="67"/>
      <c r="I33" s="249"/>
      <c r="J33" s="249"/>
      <c r="K33" s="71"/>
      <c r="L33" s="67"/>
      <c r="M33" s="1"/>
      <c r="N33" s="1"/>
      <c r="O33" s="1"/>
      <c r="P33" s="1"/>
      <c r="Q33" s="1"/>
      <c r="R33" s="16"/>
      <c r="S33" s="98"/>
      <c r="T33" s="258" t="s">
        <v>504</v>
      </c>
      <c r="U33" s="259">
        <v>19</v>
      </c>
      <c r="V33" s="260" t="s">
        <v>583</v>
      </c>
      <c r="W33" s="258" t="s">
        <v>268</v>
      </c>
      <c r="X33" s="258"/>
      <c r="Y33" s="258" t="s">
        <v>584</v>
      </c>
      <c r="Z33" s="259">
        <v>19</v>
      </c>
      <c r="AA33" s="260" t="s">
        <v>583</v>
      </c>
      <c r="AB33" s="258" t="s">
        <v>268</v>
      </c>
      <c r="AC33" s="261"/>
    </row>
    <row r="34" spans="1:29">
      <c r="A34" s="133" t="s">
        <v>49</v>
      </c>
      <c r="B34" s="1">
        <v>29</v>
      </c>
      <c r="C34" s="1">
        <v>30</v>
      </c>
      <c r="D34" s="254" t="s">
        <v>484</v>
      </c>
      <c r="E34" s="255" t="s">
        <v>461</v>
      </c>
      <c r="F34" s="256" t="s">
        <v>461</v>
      </c>
      <c r="G34" s="254" t="s">
        <v>461</v>
      </c>
      <c r="H34" s="254"/>
      <c r="I34" s="255" t="s">
        <v>570</v>
      </c>
      <c r="J34" s="255" t="s">
        <v>461</v>
      </c>
      <c r="K34" s="256" t="s">
        <v>461</v>
      </c>
      <c r="L34" s="254" t="s">
        <v>461</v>
      </c>
      <c r="M34" s="254"/>
      <c r="N34" s="91" t="s">
        <v>505</v>
      </c>
      <c r="O34" s="91"/>
      <c r="P34" s="91"/>
      <c r="Q34" s="91"/>
      <c r="R34" s="91"/>
      <c r="S34" s="98"/>
      <c r="T34" s="1" t="s">
        <v>506</v>
      </c>
      <c r="U34" s="249">
        <v>31</v>
      </c>
      <c r="V34" s="71" t="s">
        <v>565</v>
      </c>
      <c r="W34" s="67" t="s">
        <v>566</v>
      </c>
      <c r="X34" s="1"/>
      <c r="Y34" s="1" t="s">
        <v>585</v>
      </c>
      <c r="Z34" s="249">
        <v>31</v>
      </c>
      <c r="AA34" s="71" t="s">
        <v>565</v>
      </c>
      <c r="AB34" s="67" t="s">
        <v>566</v>
      </c>
      <c r="AC34" s="16"/>
    </row>
    <row r="35" spans="1:29">
      <c r="A35" s="133" t="s">
        <v>47</v>
      </c>
      <c r="B35" s="1"/>
      <c r="C35" s="1">
        <v>111</v>
      </c>
      <c r="D35" s="67" t="s">
        <v>507</v>
      </c>
      <c r="E35" s="249">
        <v>38</v>
      </c>
      <c r="F35" s="71" t="s">
        <v>586</v>
      </c>
      <c r="G35" s="67" t="s">
        <v>539</v>
      </c>
      <c r="H35" s="67"/>
      <c r="I35" s="249" t="s">
        <v>587</v>
      </c>
      <c r="J35" s="249">
        <v>38</v>
      </c>
      <c r="K35" s="71" t="s">
        <v>586</v>
      </c>
      <c r="L35" s="67" t="s">
        <v>539</v>
      </c>
      <c r="M35" s="1"/>
      <c r="N35" s="1"/>
      <c r="O35" s="1"/>
      <c r="P35" s="1"/>
      <c r="Q35" s="1"/>
      <c r="R35" s="1"/>
      <c r="S35" s="98"/>
      <c r="T35" s="254" t="s">
        <v>484</v>
      </c>
      <c r="U35" s="255" t="s">
        <v>461</v>
      </c>
      <c r="V35" s="256" t="s">
        <v>461</v>
      </c>
      <c r="W35" s="254" t="s">
        <v>461</v>
      </c>
      <c r="X35" s="254"/>
      <c r="Y35" s="254" t="s">
        <v>570</v>
      </c>
      <c r="Z35" s="255" t="s">
        <v>461</v>
      </c>
      <c r="AA35" s="256" t="s">
        <v>461</v>
      </c>
      <c r="AB35" s="254" t="s">
        <v>461</v>
      </c>
      <c r="AC35" s="257"/>
    </row>
  </sheetData>
  <phoneticPr fontId="2" type="noConversion"/>
  <pageMargins left="0.23622047244094491" right="0.23622047244094491" top="0.74803149606299213" bottom="0.74803149606299213" header="0.31496062992125984" footer="0.31496062992125984"/>
  <pageSetup paperSize="8" scale="63" fitToHeight="0" orientation="landscape" r:id="rId1"/>
  <headerFooter>
    <oddHeader>&amp;LFriday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1CBB3-FF97-4CD9-BB1E-12C66521796B}">
  <sheetPr>
    <tabColor theme="9" tint="0.59999389629810485"/>
    <pageSetUpPr fitToPage="1"/>
  </sheetPr>
  <dimension ref="A1:AE65"/>
  <sheetViews>
    <sheetView zoomScaleNormal="100" workbookViewId="0">
      <pane xSplit="3" ySplit="2" topLeftCell="D12" activePane="bottomRight" state="frozen"/>
      <selection activeCell="H26" sqref="H26"/>
      <selection pane="topRight" activeCell="H26" sqref="H26"/>
      <selection pane="bottomLeft" activeCell="H26" sqref="H26"/>
      <selection pane="bottomRight" activeCell="K16" sqref="K16"/>
    </sheetView>
  </sheetViews>
  <sheetFormatPr defaultRowHeight="16.5"/>
  <cols>
    <col min="4" max="4" width="12" customWidth="1"/>
    <col min="5" max="5" width="11.625" bestFit="1" customWidth="1"/>
    <col min="7" max="7" width="15.75" bestFit="1" customWidth="1"/>
    <col min="8" max="8" width="15" style="147" bestFit="1" customWidth="1"/>
    <col min="9" max="9" width="11" bestFit="1" customWidth="1"/>
    <col min="10" max="10" width="11.625" bestFit="1" customWidth="1"/>
    <col min="12" max="12" width="15" bestFit="1" customWidth="1"/>
    <col min="13" max="13" width="15" style="147" bestFit="1" customWidth="1"/>
    <col min="14" max="14" width="11.25" style="147" bestFit="1" customWidth="1"/>
    <col min="15" max="15" width="11.875" bestFit="1" customWidth="1"/>
    <col min="17" max="17" width="15" bestFit="1" customWidth="1"/>
    <col min="18" max="18" width="11.625" bestFit="1" customWidth="1"/>
    <col min="19" max="19" width="11" bestFit="1" customWidth="1"/>
    <col min="20" max="20" width="3.5" customWidth="1"/>
    <col min="21" max="21" width="11.625" customWidth="1"/>
    <col min="22" max="22" width="11.625" bestFit="1" customWidth="1"/>
    <col min="24" max="24" width="15" bestFit="1" customWidth="1"/>
    <col min="25" max="25" width="15" style="147" bestFit="1" customWidth="1"/>
    <col min="26" max="26" width="9" style="147"/>
    <col min="27" max="27" width="11.625" bestFit="1" customWidth="1"/>
    <col min="29" max="29" width="15" bestFit="1" customWidth="1"/>
    <col min="30" max="30" width="15" style="147" bestFit="1" customWidth="1"/>
    <col min="31" max="31" width="11.25" style="147" bestFit="1" customWidth="1"/>
  </cols>
  <sheetData>
    <row r="1" spans="1:31">
      <c r="A1" s="35" t="s">
        <v>306</v>
      </c>
      <c r="B1" s="36"/>
      <c r="C1" s="37"/>
      <c r="D1" s="38"/>
      <c r="E1" s="39" t="s">
        <v>307</v>
      </c>
      <c r="F1" s="36"/>
      <c r="G1" s="36"/>
      <c r="H1" s="40"/>
      <c r="I1" s="41"/>
      <c r="J1" s="39" t="s">
        <v>308</v>
      </c>
      <c r="K1" s="36"/>
      <c r="L1" s="36"/>
      <c r="M1" s="40"/>
      <c r="N1" s="42"/>
      <c r="O1" s="39" t="s">
        <v>309</v>
      </c>
      <c r="P1" s="36"/>
      <c r="Q1" s="36"/>
      <c r="R1" s="36"/>
      <c r="S1" s="43"/>
      <c r="T1" s="44"/>
      <c r="U1" s="45"/>
      <c r="V1" s="39" t="s">
        <v>310</v>
      </c>
      <c r="W1" s="36"/>
      <c r="X1" s="36"/>
      <c r="Y1" s="40"/>
      <c r="Z1" s="46"/>
      <c r="AA1" s="39" t="s">
        <v>311</v>
      </c>
      <c r="AB1" s="36"/>
      <c r="AC1" s="36"/>
      <c r="AD1" s="40"/>
      <c r="AE1" s="47"/>
    </row>
    <row r="2" spans="1:31" ht="17.25" thickBot="1">
      <c r="A2" s="48" t="s">
        <v>312</v>
      </c>
      <c r="B2" s="49" t="s">
        <v>313</v>
      </c>
      <c r="C2" s="50" t="s">
        <v>314</v>
      </c>
      <c r="D2" s="51"/>
      <c r="E2" s="48" t="s">
        <v>315</v>
      </c>
      <c r="F2" s="49" t="s">
        <v>316</v>
      </c>
      <c r="G2" s="49" t="s">
        <v>317</v>
      </c>
      <c r="H2" s="52" t="s">
        <v>318</v>
      </c>
      <c r="I2" s="53" t="s">
        <v>283</v>
      </c>
      <c r="J2" s="48" t="s">
        <v>315</v>
      </c>
      <c r="K2" s="49" t="s">
        <v>316</v>
      </c>
      <c r="L2" s="49" t="s">
        <v>317</v>
      </c>
      <c r="M2" s="52" t="s">
        <v>318</v>
      </c>
      <c r="N2" s="53" t="s">
        <v>283</v>
      </c>
      <c r="O2" s="48" t="s">
        <v>315</v>
      </c>
      <c r="P2" s="49" t="s">
        <v>316</v>
      </c>
      <c r="Q2" s="49" t="s">
        <v>317</v>
      </c>
      <c r="R2" s="49" t="s">
        <v>318</v>
      </c>
      <c r="S2" s="50" t="s">
        <v>283</v>
      </c>
      <c r="T2" s="54"/>
      <c r="U2" s="55"/>
      <c r="V2" s="48" t="s">
        <v>315</v>
      </c>
      <c r="W2" s="49" t="s">
        <v>316</v>
      </c>
      <c r="X2" s="49" t="s">
        <v>317</v>
      </c>
      <c r="Y2" s="52" t="s">
        <v>318</v>
      </c>
      <c r="Z2" s="56" t="s">
        <v>283</v>
      </c>
      <c r="AA2" s="48" t="s">
        <v>315</v>
      </c>
      <c r="AB2" s="49" t="s">
        <v>316</v>
      </c>
      <c r="AC2" s="49" t="s">
        <v>317</v>
      </c>
      <c r="AD2" s="52" t="s">
        <v>318</v>
      </c>
      <c r="AE2" s="56" t="s">
        <v>283</v>
      </c>
    </row>
    <row r="3" spans="1:31">
      <c r="A3" s="57" t="s">
        <v>0</v>
      </c>
      <c r="B3" s="1">
        <v>44</v>
      </c>
      <c r="C3" s="6">
        <v>49</v>
      </c>
      <c r="D3" s="58"/>
      <c r="E3" s="59" t="s">
        <v>319</v>
      </c>
      <c r="F3" s="1">
        <v>35</v>
      </c>
      <c r="G3" s="1" t="s">
        <v>247</v>
      </c>
      <c r="H3" s="60" t="s">
        <v>248</v>
      </c>
      <c r="I3" s="61"/>
      <c r="J3" s="59" t="s">
        <v>319</v>
      </c>
      <c r="K3" s="1">
        <v>35</v>
      </c>
      <c r="L3" s="1" t="s">
        <v>247</v>
      </c>
      <c r="M3" s="60" t="s">
        <v>248</v>
      </c>
      <c r="N3" s="62"/>
      <c r="O3" s="59"/>
      <c r="P3" s="1">
        <v>0</v>
      </c>
      <c r="Q3" s="1" t="s">
        <v>461</v>
      </c>
      <c r="R3" s="1" t="s">
        <v>461</v>
      </c>
      <c r="S3" s="6"/>
      <c r="T3" s="63"/>
      <c r="U3" s="64"/>
      <c r="V3" s="59" t="s">
        <v>320</v>
      </c>
      <c r="W3" s="1">
        <v>35</v>
      </c>
      <c r="X3" s="1" t="s">
        <v>247</v>
      </c>
      <c r="Y3" s="60" t="s">
        <v>248</v>
      </c>
      <c r="Z3" s="62"/>
      <c r="AA3" s="59" t="s">
        <v>320</v>
      </c>
      <c r="AB3" s="1">
        <v>35</v>
      </c>
      <c r="AC3" s="1" t="s">
        <v>247</v>
      </c>
      <c r="AD3" s="60" t="s">
        <v>248</v>
      </c>
      <c r="AE3" s="62"/>
    </row>
    <row r="4" spans="1:31">
      <c r="A4" s="57" t="s">
        <v>2</v>
      </c>
      <c r="B4" s="1">
        <v>42</v>
      </c>
      <c r="C4" s="6">
        <v>48</v>
      </c>
      <c r="D4" s="58"/>
      <c r="E4" s="59" t="s">
        <v>321</v>
      </c>
      <c r="F4" s="1">
        <v>34</v>
      </c>
      <c r="G4" s="1" t="s">
        <v>225</v>
      </c>
      <c r="H4" s="65" t="s">
        <v>59</v>
      </c>
      <c r="I4" s="61"/>
      <c r="J4" s="59" t="s">
        <v>321</v>
      </c>
      <c r="K4" s="1">
        <v>34</v>
      </c>
      <c r="L4" s="1" t="s">
        <v>225</v>
      </c>
      <c r="M4" s="60" t="s">
        <v>59</v>
      </c>
      <c r="N4" s="62"/>
      <c r="O4" s="66"/>
      <c r="P4" s="67">
        <v>0</v>
      </c>
      <c r="Q4" s="67" t="s">
        <v>461</v>
      </c>
      <c r="R4" s="67" t="s">
        <v>461</v>
      </c>
      <c r="S4" s="68"/>
      <c r="T4" s="59"/>
      <c r="U4" s="69"/>
      <c r="V4" s="66" t="s">
        <v>322</v>
      </c>
      <c r="W4" s="1">
        <v>34</v>
      </c>
      <c r="X4" s="1" t="s">
        <v>216</v>
      </c>
      <c r="Y4" s="60" t="s">
        <v>218</v>
      </c>
      <c r="Z4" s="62"/>
      <c r="AA4" s="59"/>
      <c r="AB4" s="1">
        <v>0</v>
      </c>
      <c r="AC4" s="1" t="s">
        <v>461</v>
      </c>
      <c r="AD4" s="60" t="s">
        <v>461</v>
      </c>
      <c r="AE4" s="62"/>
    </row>
    <row r="5" spans="1:31">
      <c r="A5" s="57" t="s">
        <v>4</v>
      </c>
      <c r="B5" s="1">
        <v>44</v>
      </c>
      <c r="C5" s="6">
        <v>79</v>
      </c>
      <c r="D5" s="58"/>
      <c r="E5" s="59" t="s">
        <v>323</v>
      </c>
      <c r="F5" s="67">
        <v>46</v>
      </c>
      <c r="G5" s="67" t="s">
        <v>247</v>
      </c>
      <c r="H5" s="70" t="s">
        <v>250</v>
      </c>
      <c r="I5" s="61" t="s">
        <v>324</v>
      </c>
      <c r="J5" s="59" t="s">
        <v>323</v>
      </c>
      <c r="K5" s="67">
        <v>46</v>
      </c>
      <c r="L5" s="67" t="s">
        <v>247</v>
      </c>
      <c r="M5" s="71" t="s">
        <v>250</v>
      </c>
      <c r="N5" s="62" t="s">
        <v>325</v>
      </c>
      <c r="O5" s="59"/>
      <c r="P5" s="1">
        <v>0</v>
      </c>
      <c r="Q5" s="1" t="s">
        <v>461</v>
      </c>
      <c r="R5" s="1" t="s">
        <v>461</v>
      </c>
      <c r="S5" s="6"/>
      <c r="T5" s="59"/>
      <c r="U5" s="69"/>
      <c r="V5" s="72" t="s">
        <v>326</v>
      </c>
      <c r="W5" s="73">
        <v>45</v>
      </c>
      <c r="X5" s="73" t="s">
        <v>327</v>
      </c>
      <c r="Y5" s="74" t="s">
        <v>164</v>
      </c>
      <c r="Z5" s="75" t="s">
        <v>295</v>
      </c>
      <c r="AA5" s="72" t="s">
        <v>326</v>
      </c>
      <c r="AB5" s="73">
        <v>45</v>
      </c>
      <c r="AC5" s="73" t="s">
        <v>327</v>
      </c>
      <c r="AD5" s="74" t="s">
        <v>164</v>
      </c>
      <c r="AE5" s="75" t="s">
        <v>296</v>
      </c>
    </row>
    <row r="6" spans="1:31">
      <c r="A6" s="57" t="s">
        <v>6</v>
      </c>
      <c r="B6" s="1">
        <v>45</v>
      </c>
      <c r="C6" s="6">
        <v>53</v>
      </c>
      <c r="D6" s="76" t="s">
        <v>199</v>
      </c>
      <c r="E6" s="77" t="s">
        <v>199</v>
      </c>
      <c r="F6" s="78">
        <v>38</v>
      </c>
      <c r="G6" s="78" t="s">
        <v>201</v>
      </c>
      <c r="H6" s="79" t="s">
        <v>220</v>
      </c>
      <c r="I6" s="80"/>
      <c r="J6" s="77" t="s">
        <v>199</v>
      </c>
      <c r="K6" s="78">
        <v>38</v>
      </c>
      <c r="L6" s="78" t="s">
        <v>201</v>
      </c>
      <c r="M6" s="81" t="s">
        <v>220</v>
      </c>
      <c r="N6" s="82"/>
      <c r="O6" s="66"/>
      <c r="P6" s="67">
        <v>0</v>
      </c>
      <c r="Q6" s="67" t="s">
        <v>461</v>
      </c>
      <c r="R6" s="67" t="s">
        <v>461</v>
      </c>
      <c r="S6" s="68"/>
      <c r="T6" s="66"/>
      <c r="U6" s="83"/>
      <c r="V6" s="59" t="s">
        <v>328</v>
      </c>
      <c r="W6" s="67">
        <v>51</v>
      </c>
      <c r="X6" s="67" t="s">
        <v>247</v>
      </c>
      <c r="Y6" s="71" t="s">
        <v>250</v>
      </c>
      <c r="Z6" s="84"/>
      <c r="AA6" s="59" t="s">
        <v>328</v>
      </c>
      <c r="AB6" s="67">
        <v>51</v>
      </c>
      <c r="AC6" s="67" t="s">
        <v>247</v>
      </c>
      <c r="AD6" s="71" t="s">
        <v>250</v>
      </c>
      <c r="AE6" s="84"/>
    </row>
    <row r="7" spans="1:31">
      <c r="A7" s="57" t="s">
        <v>8</v>
      </c>
      <c r="B7" s="1">
        <v>27</v>
      </c>
      <c r="C7" s="6">
        <v>25</v>
      </c>
      <c r="D7" s="85"/>
      <c r="E7" s="66"/>
      <c r="F7" s="67">
        <v>0</v>
      </c>
      <c r="G7" s="67" t="s">
        <v>461</v>
      </c>
      <c r="H7" s="65" t="s">
        <v>461</v>
      </c>
      <c r="I7" s="86"/>
      <c r="J7" s="66"/>
      <c r="K7" s="67">
        <v>0</v>
      </c>
      <c r="L7" s="67" t="s">
        <v>461</v>
      </c>
      <c r="M7" s="60" t="s">
        <v>461</v>
      </c>
      <c r="N7" s="84"/>
      <c r="O7" s="66"/>
      <c r="P7" s="67">
        <v>0</v>
      </c>
      <c r="Q7" s="67" t="s">
        <v>461</v>
      </c>
      <c r="R7" s="67" t="s">
        <v>461</v>
      </c>
      <c r="S7" s="68"/>
      <c r="T7" s="66"/>
      <c r="U7" s="83"/>
      <c r="V7" s="66"/>
      <c r="W7" s="67">
        <v>0</v>
      </c>
      <c r="X7" s="67" t="s">
        <v>461</v>
      </c>
      <c r="Y7" s="71" t="s">
        <v>461</v>
      </c>
      <c r="Z7" s="84"/>
      <c r="AA7" s="66"/>
      <c r="AB7" s="67">
        <v>0</v>
      </c>
      <c r="AC7" s="67" t="s">
        <v>461</v>
      </c>
      <c r="AD7" s="71" t="s">
        <v>461</v>
      </c>
      <c r="AE7" s="84"/>
    </row>
    <row r="8" spans="1:31">
      <c r="A8" s="57" t="s">
        <v>10</v>
      </c>
      <c r="B8" s="1">
        <v>19</v>
      </c>
      <c r="C8" s="6">
        <v>25</v>
      </c>
      <c r="D8" s="85"/>
      <c r="E8" s="66"/>
      <c r="F8" s="67">
        <v>0</v>
      </c>
      <c r="G8" s="67" t="s">
        <v>461</v>
      </c>
      <c r="H8" s="65" t="s">
        <v>461</v>
      </c>
      <c r="I8" s="86"/>
      <c r="J8" s="66"/>
      <c r="K8" s="67">
        <v>0</v>
      </c>
      <c r="L8" s="67" t="s">
        <v>461</v>
      </c>
      <c r="M8" s="60" t="s">
        <v>461</v>
      </c>
      <c r="N8" s="84"/>
      <c r="O8" s="66"/>
      <c r="P8" s="67">
        <v>0</v>
      </c>
      <c r="Q8" s="67" t="s">
        <v>461</v>
      </c>
      <c r="R8" s="67" t="s">
        <v>461</v>
      </c>
      <c r="S8" s="68"/>
      <c r="T8" s="66"/>
      <c r="U8" s="83"/>
      <c r="V8" s="66"/>
      <c r="W8" s="67">
        <v>0</v>
      </c>
      <c r="X8" s="67" t="s">
        <v>461</v>
      </c>
      <c r="Y8" s="71" t="s">
        <v>461</v>
      </c>
      <c r="Z8" s="84"/>
      <c r="AA8" s="66"/>
      <c r="AB8" s="67">
        <v>0</v>
      </c>
      <c r="AC8" s="67" t="s">
        <v>461</v>
      </c>
      <c r="AD8" s="71" t="s">
        <v>461</v>
      </c>
      <c r="AE8" s="84"/>
    </row>
    <row r="9" spans="1:31">
      <c r="A9" s="57" t="s">
        <v>12</v>
      </c>
      <c r="B9" s="1">
        <v>33</v>
      </c>
      <c r="C9" s="6">
        <v>44</v>
      </c>
      <c r="D9" s="85"/>
      <c r="E9" s="66" t="s">
        <v>329</v>
      </c>
      <c r="F9" s="67">
        <v>42</v>
      </c>
      <c r="G9" s="67" t="s">
        <v>225</v>
      </c>
      <c r="H9" s="65" t="s">
        <v>68</v>
      </c>
      <c r="I9" s="86"/>
      <c r="J9" s="66" t="s">
        <v>329</v>
      </c>
      <c r="K9" s="67">
        <v>42</v>
      </c>
      <c r="L9" s="67" t="s">
        <v>225</v>
      </c>
      <c r="M9" s="60" t="s">
        <v>68</v>
      </c>
      <c r="N9" s="84"/>
      <c r="O9" s="66"/>
      <c r="P9" s="67">
        <v>0</v>
      </c>
      <c r="Q9" s="67" t="s">
        <v>461</v>
      </c>
      <c r="R9" s="67" t="s">
        <v>461</v>
      </c>
      <c r="S9" s="68"/>
      <c r="T9" s="66"/>
      <c r="U9" s="83"/>
      <c r="V9" s="66" t="s">
        <v>330</v>
      </c>
      <c r="W9" s="67">
        <v>42</v>
      </c>
      <c r="X9" s="67" t="s">
        <v>225</v>
      </c>
      <c r="Y9" s="71" t="s">
        <v>68</v>
      </c>
      <c r="Z9" s="84"/>
      <c r="AA9" s="66" t="s">
        <v>330</v>
      </c>
      <c r="AB9" s="67">
        <v>42</v>
      </c>
      <c r="AC9" s="67" t="s">
        <v>225</v>
      </c>
      <c r="AD9" s="71" t="s">
        <v>68</v>
      </c>
      <c r="AE9" s="84"/>
    </row>
    <row r="10" spans="1:31">
      <c r="A10" s="57" t="s">
        <v>14</v>
      </c>
      <c r="B10" s="1">
        <v>0</v>
      </c>
      <c r="C10" s="6"/>
      <c r="D10" s="85"/>
      <c r="E10" s="66"/>
      <c r="F10" s="67">
        <v>0</v>
      </c>
      <c r="G10" s="67" t="s">
        <v>461</v>
      </c>
      <c r="H10" s="65" t="s">
        <v>461</v>
      </c>
      <c r="I10" s="86"/>
      <c r="J10" s="66"/>
      <c r="K10" s="67">
        <v>0</v>
      </c>
      <c r="L10" s="67" t="s">
        <v>461</v>
      </c>
      <c r="M10" s="60" t="s">
        <v>461</v>
      </c>
      <c r="N10" s="84"/>
      <c r="O10" s="66"/>
      <c r="P10" s="67">
        <v>0</v>
      </c>
      <c r="Q10" s="67" t="s">
        <v>461</v>
      </c>
      <c r="R10" s="67" t="s">
        <v>461</v>
      </c>
      <c r="S10" s="68"/>
      <c r="T10" s="66"/>
      <c r="U10" s="83"/>
      <c r="V10" s="66"/>
      <c r="W10" s="67">
        <v>0</v>
      </c>
      <c r="X10" s="67" t="s">
        <v>461</v>
      </c>
      <c r="Y10" s="71" t="s">
        <v>461</v>
      </c>
      <c r="Z10" s="84"/>
      <c r="AA10" s="66"/>
      <c r="AB10" s="67">
        <v>0</v>
      </c>
      <c r="AC10" s="67" t="s">
        <v>461</v>
      </c>
      <c r="AD10" s="71" t="s">
        <v>461</v>
      </c>
      <c r="AE10" s="84"/>
    </row>
    <row r="11" spans="1:31">
      <c r="A11" s="57" t="s">
        <v>15</v>
      </c>
      <c r="B11" s="1">
        <v>37</v>
      </c>
      <c r="C11" s="6">
        <v>38</v>
      </c>
      <c r="D11" s="87"/>
      <c r="E11" s="66" t="s">
        <v>331</v>
      </c>
      <c r="F11" s="67">
        <v>34</v>
      </c>
      <c r="G11" s="67" t="s">
        <v>247</v>
      </c>
      <c r="H11" s="65" t="s">
        <v>252</v>
      </c>
      <c r="I11" s="86"/>
      <c r="J11" s="66" t="s">
        <v>331</v>
      </c>
      <c r="K11" s="67">
        <v>34</v>
      </c>
      <c r="L11" s="67" t="s">
        <v>247</v>
      </c>
      <c r="M11" s="60" t="s">
        <v>252</v>
      </c>
      <c r="N11" s="84"/>
      <c r="O11" s="66"/>
      <c r="P11" s="67">
        <v>0</v>
      </c>
      <c r="Q11" s="67" t="s">
        <v>461</v>
      </c>
      <c r="R11" s="67" t="s">
        <v>461</v>
      </c>
      <c r="S11" s="68"/>
      <c r="T11" s="66"/>
      <c r="U11" s="88"/>
      <c r="V11" s="66" t="s">
        <v>332</v>
      </c>
      <c r="W11" s="67">
        <v>34</v>
      </c>
      <c r="X11" s="67" t="s">
        <v>216</v>
      </c>
      <c r="Y11" s="71" t="s">
        <v>217</v>
      </c>
      <c r="Z11" s="84"/>
      <c r="AA11" s="66"/>
      <c r="AB11" s="67">
        <v>0</v>
      </c>
      <c r="AC11" s="67" t="s">
        <v>461</v>
      </c>
      <c r="AD11" s="71" t="s">
        <v>461</v>
      </c>
      <c r="AE11" s="84"/>
    </row>
    <row r="12" spans="1:31">
      <c r="A12" s="57" t="s">
        <v>17</v>
      </c>
      <c r="B12" s="1">
        <v>36</v>
      </c>
      <c r="C12" s="6">
        <v>38</v>
      </c>
      <c r="D12" s="85"/>
      <c r="E12" s="66" t="s">
        <v>333</v>
      </c>
      <c r="F12" s="67">
        <v>38</v>
      </c>
      <c r="G12" s="67" t="s">
        <v>216</v>
      </c>
      <c r="H12" s="65" t="s">
        <v>217</v>
      </c>
      <c r="I12" s="86"/>
      <c r="J12" s="66" t="s">
        <v>334</v>
      </c>
      <c r="K12" s="67">
        <v>36</v>
      </c>
      <c r="L12" s="67" t="s">
        <v>216</v>
      </c>
      <c r="M12" s="60" t="s">
        <v>217</v>
      </c>
      <c r="N12" s="84"/>
      <c r="O12" s="66"/>
      <c r="P12" s="67">
        <v>0</v>
      </c>
      <c r="Q12" s="67" t="s">
        <v>461</v>
      </c>
      <c r="R12" s="67" t="s">
        <v>461</v>
      </c>
      <c r="S12" s="68"/>
      <c r="T12" s="66"/>
      <c r="U12" s="83"/>
      <c r="V12" s="66" t="s">
        <v>335</v>
      </c>
      <c r="W12" s="67">
        <v>36</v>
      </c>
      <c r="X12" s="67" t="s">
        <v>247</v>
      </c>
      <c r="Y12" s="71" t="s">
        <v>252</v>
      </c>
      <c r="Z12" s="84"/>
      <c r="AA12" s="66" t="s">
        <v>335</v>
      </c>
      <c r="AB12" s="67">
        <v>36</v>
      </c>
      <c r="AC12" s="67" t="s">
        <v>247</v>
      </c>
      <c r="AD12" s="71" t="s">
        <v>252</v>
      </c>
      <c r="AE12" s="84"/>
    </row>
    <row r="13" spans="1:31">
      <c r="A13" s="57" t="s">
        <v>19</v>
      </c>
      <c r="B13" s="1">
        <v>32</v>
      </c>
      <c r="C13" s="6">
        <v>34</v>
      </c>
      <c r="D13" s="89"/>
      <c r="E13" s="66"/>
      <c r="F13" s="67">
        <v>0</v>
      </c>
      <c r="G13" s="67" t="s">
        <v>461</v>
      </c>
      <c r="H13" s="65" t="s">
        <v>461</v>
      </c>
      <c r="I13" s="86"/>
      <c r="J13" s="66"/>
      <c r="K13" s="67">
        <v>0</v>
      </c>
      <c r="L13" s="67" t="s">
        <v>461</v>
      </c>
      <c r="M13" s="60" t="s">
        <v>461</v>
      </c>
      <c r="N13" s="84"/>
      <c r="O13" s="90" t="s">
        <v>336</v>
      </c>
      <c r="P13" s="91">
        <v>27</v>
      </c>
      <c r="Q13" s="91" t="s">
        <v>163</v>
      </c>
      <c r="R13" s="91" t="s">
        <v>271</v>
      </c>
      <c r="S13" s="92" t="s">
        <v>290</v>
      </c>
      <c r="T13" s="90"/>
      <c r="U13" s="93"/>
      <c r="V13" s="90" t="s">
        <v>336</v>
      </c>
      <c r="W13" s="91">
        <v>27</v>
      </c>
      <c r="X13" s="91" t="s">
        <v>163</v>
      </c>
      <c r="Y13" s="94" t="s">
        <v>271</v>
      </c>
      <c r="Z13" s="84" t="s">
        <v>294</v>
      </c>
      <c r="AA13" s="66" t="s">
        <v>337</v>
      </c>
      <c r="AB13" s="67">
        <v>34</v>
      </c>
      <c r="AC13" s="67" t="s">
        <v>216</v>
      </c>
      <c r="AD13" s="71" t="s">
        <v>217</v>
      </c>
      <c r="AE13" s="84"/>
    </row>
    <row r="14" spans="1:31">
      <c r="A14" s="57" t="s">
        <v>21</v>
      </c>
      <c r="B14" s="1">
        <v>29</v>
      </c>
      <c r="C14" s="6">
        <v>34</v>
      </c>
      <c r="D14" s="85"/>
      <c r="E14" s="66"/>
      <c r="F14" s="67">
        <v>0</v>
      </c>
      <c r="G14" s="67" t="s">
        <v>461</v>
      </c>
      <c r="H14" s="65" t="s">
        <v>461</v>
      </c>
      <c r="I14" s="86"/>
      <c r="J14" s="66"/>
      <c r="K14" s="67">
        <v>0</v>
      </c>
      <c r="L14" s="67" t="s">
        <v>461</v>
      </c>
      <c r="M14" s="60" t="s">
        <v>461</v>
      </c>
      <c r="N14" s="84"/>
      <c r="O14" s="66"/>
      <c r="P14" s="67">
        <v>0</v>
      </c>
      <c r="Q14" s="67" t="s">
        <v>461</v>
      </c>
      <c r="R14" s="67" t="s">
        <v>461</v>
      </c>
      <c r="S14" s="68"/>
      <c r="T14" s="66"/>
      <c r="U14" s="83"/>
      <c r="V14" s="66"/>
      <c r="W14" s="67">
        <v>0</v>
      </c>
      <c r="X14" s="67" t="s">
        <v>461</v>
      </c>
      <c r="Y14" s="71" t="s">
        <v>461</v>
      </c>
      <c r="Z14" s="84"/>
      <c r="AA14" s="66"/>
      <c r="AB14" s="67">
        <v>0</v>
      </c>
      <c r="AC14" s="67" t="s">
        <v>461</v>
      </c>
      <c r="AD14" s="71" t="s">
        <v>461</v>
      </c>
      <c r="AE14" s="84"/>
    </row>
    <row r="15" spans="1:31">
      <c r="A15" s="57" t="s">
        <v>23</v>
      </c>
      <c r="B15" s="1">
        <v>22</v>
      </c>
      <c r="C15" s="6">
        <v>22</v>
      </c>
      <c r="D15" s="85"/>
      <c r="E15" s="66" t="s">
        <v>338</v>
      </c>
      <c r="F15" s="67">
        <v>20</v>
      </c>
      <c r="G15" s="67" t="s">
        <v>225</v>
      </c>
      <c r="H15" s="65" t="s">
        <v>213</v>
      </c>
      <c r="I15" s="86"/>
      <c r="J15" s="66" t="s">
        <v>338</v>
      </c>
      <c r="K15" s="67">
        <v>20</v>
      </c>
      <c r="L15" s="67" t="s">
        <v>225</v>
      </c>
      <c r="M15" s="60" t="s">
        <v>213</v>
      </c>
      <c r="N15" s="84"/>
      <c r="O15" s="66"/>
      <c r="P15" s="67">
        <v>0</v>
      </c>
      <c r="Q15" s="67" t="s">
        <v>461</v>
      </c>
      <c r="R15" s="67" t="s">
        <v>461</v>
      </c>
      <c r="S15" s="68"/>
      <c r="T15" s="66"/>
      <c r="U15" s="83"/>
      <c r="V15" s="66" t="s">
        <v>339</v>
      </c>
      <c r="W15" s="67">
        <v>19</v>
      </c>
      <c r="X15" s="67" t="s">
        <v>225</v>
      </c>
      <c r="Y15" s="71" t="s">
        <v>213</v>
      </c>
      <c r="Z15" s="83"/>
      <c r="AA15" s="66" t="s">
        <v>339</v>
      </c>
      <c r="AB15" s="67">
        <v>19</v>
      </c>
      <c r="AC15" s="67" t="s">
        <v>225</v>
      </c>
      <c r="AD15" s="71" t="s">
        <v>213</v>
      </c>
      <c r="AE15" s="83"/>
    </row>
    <row r="16" spans="1:31">
      <c r="A16" s="57" t="s">
        <v>25</v>
      </c>
      <c r="B16" s="1">
        <v>29</v>
      </c>
      <c r="C16" s="6">
        <v>31</v>
      </c>
      <c r="D16" s="85"/>
      <c r="E16" s="66"/>
      <c r="F16" s="67">
        <v>0</v>
      </c>
      <c r="G16" s="67" t="s">
        <v>461</v>
      </c>
      <c r="H16" s="65" t="s">
        <v>461</v>
      </c>
      <c r="I16" s="86"/>
      <c r="J16" s="66"/>
      <c r="K16" s="67">
        <v>0</v>
      </c>
      <c r="L16" s="67" t="s">
        <v>461</v>
      </c>
      <c r="M16" s="60" t="s">
        <v>461</v>
      </c>
      <c r="N16" s="84"/>
      <c r="O16" s="66"/>
      <c r="P16" s="67">
        <v>0</v>
      </c>
      <c r="Q16" s="67" t="s">
        <v>461</v>
      </c>
      <c r="R16" s="67" t="s">
        <v>461</v>
      </c>
      <c r="S16" s="68"/>
      <c r="T16" s="66"/>
      <c r="U16" s="95"/>
      <c r="V16" s="66"/>
      <c r="W16" s="67">
        <v>0</v>
      </c>
      <c r="X16" s="67" t="s">
        <v>461</v>
      </c>
      <c r="Y16" s="71" t="s">
        <v>461</v>
      </c>
      <c r="Z16" s="84"/>
      <c r="AA16" s="66"/>
      <c r="AB16" s="67">
        <v>0</v>
      </c>
      <c r="AC16" s="67" t="s">
        <v>461</v>
      </c>
      <c r="AD16" s="71" t="s">
        <v>461</v>
      </c>
      <c r="AE16" s="84"/>
    </row>
    <row r="17" spans="1:31">
      <c r="A17" s="57" t="s">
        <v>340</v>
      </c>
      <c r="B17" s="1">
        <v>39</v>
      </c>
      <c r="C17" s="6">
        <v>48</v>
      </c>
      <c r="D17" s="87"/>
      <c r="E17" s="66" t="s">
        <v>341</v>
      </c>
      <c r="F17" s="67">
        <v>43</v>
      </c>
      <c r="G17" s="67" t="s">
        <v>247</v>
      </c>
      <c r="H17" s="65" t="s">
        <v>254</v>
      </c>
      <c r="I17" s="86"/>
      <c r="J17" s="66" t="s">
        <v>341</v>
      </c>
      <c r="K17" s="67">
        <v>43</v>
      </c>
      <c r="L17" s="67" t="s">
        <v>247</v>
      </c>
      <c r="M17" s="60" t="s">
        <v>254</v>
      </c>
      <c r="N17" s="84"/>
      <c r="O17" s="66"/>
      <c r="P17" s="67">
        <v>0</v>
      </c>
      <c r="Q17" s="67" t="s">
        <v>461</v>
      </c>
      <c r="R17" s="67" t="s">
        <v>461</v>
      </c>
      <c r="S17" s="68"/>
      <c r="T17" s="66"/>
      <c r="U17" s="96" t="s">
        <v>342</v>
      </c>
      <c r="V17" s="97" t="s">
        <v>342</v>
      </c>
      <c r="W17" s="98">
        <v>43</v>
      </c>
      <c r="X17" s="98" t="s">
        <v>163</v>
      </c>
      <c r="Y17" s="99" t="s">
        <v>268</v>
      </c>
      <c r="Z17" s="100"/>
      <c r="AA17" s="97" t="s">
        <v>342</v>
      </c>
      <c r="AB17" s="98">
        <v>43</v>
      </c>
      <c r="AC17" s="98" t="s">
        <v>163</v>
      </c>
      <c r="AD17" s="99" t="s">
        <v>268</v>
      </c>
      <c r="AE17" s="100"/>
    </row>
    <row r="18" spans="1:31">
      <c r="A18" s="57" t="s">
        <v>343</v>
      </c>
      <c r="B18" s="1">
        <v>40</v>
      </c>
      <c r="C18" s="6">
        <v>43</v>
      </c>
      <c r="D18" s="217" t="s">
        <v>344</v>
      </c>
      <c r="E18" s="101" t="s">
        <v>345</v>
      </c>
      <c r="F18" s="98">
        <v>10</v>
      </c>
      <c r="G18" s="98" t="s">
        <v>163</v>
      </c>
      <c r="H18" s="102" t="s">
        <v>268</v>
      </c>
      <c r="I18" s="103"/>
      <c r="J18" s="97" t="s">
        <v>345</v>
      </c>
      <c r="K18" s="98">
        <v>10</v>
      </c>
      <c r="L18" s="98" t="s">
        <v>163</v>
      </c>
      <c r="M18" s="99" t="s">
        <v>268</v>
      </c>
      <c r="N18" s="84"/>
      <c r="O18" s="66"/>
      <c r="P18" s="67">
        <v>0</v>
      </c>
      <c r="Q18" s="67" t="s">
        <v>461</v>
      </c>
      <c r="R18" s="67" t="s">
        <v>461</v>
      </c>
      <c r="S18" s="68"/>
      <c r="T18" s="66"/>
      <c r="U18" s="83"/>
      <c r="V18" s="66" t="s">
        <v>346</v>
      </c>
      <c r="W18" s="67">
        <v>34</v>
      </c>
      <c r="X18" s="67" t="s">
        <v>247</v>
      </c>
      <c r="Y18" s="71" t="s">
        <v>254</v>
      </c>
      <c r="Z18" s="84"/>
      <c r="AA18" s="66" t="s">
        <v>346</v>
      </c>
      <c r="AB18" s="67">
        <v>34</v>
      </c>
      <c r="AC18" s="67" t="s">
        <v>247</v>
      </c>
      <c r="AD18" s="71" t="s">
        <v>254</v>
      </c>
      <c r="AE18" s="84"/>
    </row>
    <row r="19" spans="1:31">
      <c r="A19" s="57"/>
      <c r="B19" s="1"/>
      <c r="C19" s="6"/>
      <c r="D19" s="218"/>
      <c r="E19" s="101" t="s">
        <v>347</v>
      </c>
      <c r="F19" s="98">
        <v>10</v>
      </c>
      <c r="G19" s="98" t="s">
        <v>163</v>
      </c>
      <c r="H19" s="102" t="s">
        <v>268</v>
      </c>
      <c r="I19" s="103"/>
      <c r="J19" s="97" t="s">
        <v>347</v>
      </c>
      <c r="K19" s="98">
        <v>10</v>
      </c>
      <c r="L19" s="98" t="s">
        <v>163</v>
      </c>
      <c r="M19" s="99" t="s">
        <v>268</v>
      </c>
      <c r="N19" s="84"/>
      <c r="O19" s="66"/>
      <c r="P19" s="67"/>
      <c r="Q19" s="67"/>
      <c r="R19" s="67"/>
      <c r="S19" s="68"/>
      <c r="T19" s="66"/>
      <c r="U19" s="83"/>
      <c r="V19" s="66"/>
      <c r="W19" s="67"/>
      <c r="X19" s="67"/>
      <c r="Y19" s="71"/>
      <c r="Z19" s="84"/>
      <c r="AA19" s="66"/>
      <c r="AB19" s="67"/>
      <c r="AC19" s="67"/>
      <c r="AD19" s="71"/>
      <c r="AE19" s="84"/>
    </row>
    <row r="20" spans="1:31">
      <c r="A20" s="57"/>
      <c r="B20" s="1"/>
      <c r="C20" s="6"/>
      <c r="D20" s="219"/>
      <c r="E20" s="101" t="s">
        <v>344</v>
      </c>
      <c r="F20" s="98">
        <v>22</v>
      </c>
      <c r="G20" s="98" t="s">
        <v>163</v>
      </c>
      <c r="H20" s="102" t="s">
        <v>268</v>
      </c>
      <c r="I20" s="103"/>
      <c r="J20" s="97" t="s">
        <v>344</v>
      </c>
      <c r="K20" s="98">
        <v>22</v>
      </c>
      <c r="L20" s="98" t="s">
        <v>163</v>
      </c>
      <c r="M20" s="99" t="s">
        <v>268</v>
      </c>
      <c r="N20" s="84"/>
      <c r="O20" s="66"/>
      <c r="P20" s="67"/>
      <c r="Q20" s="67"/>
      <c r="R20" s="67"/>
      <c r="S20" s="68"/>
      <c r="T20" s="66"/>
      <c r="U20" s="83"/>
      <c r="V20" s="66"/>
      <c r="W20" s="67"/>
      <c r="X20" s="67"/>
      <c r="Y20" s="71"/>
      <c r="Z20" s="84"/>
      <c r="AA20" s="66"/>
      <c r="AB20" s="67"/>
      <c r="AC20" s="67"/>
      <c r="AD20" s="71"/>
      <c r="AE20" s="84"/>
    </row>
    <row r="21" spans="1:31">
      <c r="A21" s="57" t="s">
        <v>31</v>
      </c>
      <c r="B21" s="1">
        <v>32</v>
      </c>
      <c r="C21" s="6">
        <v>34</v>
      </c>
      <c r="D21" s="85"/>
      <c r="E21" s="66" t="s">
        <v>348</v>
      </c>
      <c r="F21" s="67">
        <v>33</v>
      </c>
      <c r="G21" s="67" t="s">
        <v>247</v>
      </c>
      <c r="H21" s="65" t="s">
        <v>251</v>
      </c>
      <c r="I21" s="86"/>
      <c r="J21" s="66" t="s">
        <v>348</v>
      </c>
      <c r="K21" s="67">
        <v>33</v>
      </c>
      <c r="L21" s="67" t="s">
        <v>247</v>
      </c>
      <c r="M21" s="60" t="s">
        <v>251</v>
      </c>
      <c r="N21" s="84"/>
      <c r="O21" s="66"/>
      <c r="P21" s="67">
        <v>0</v>
      </c>
      <c r="Q21" s="67" t="s">
        <v>461</v>
      </c>
      <c r="R21" s="67" t="s">
        <v>461</v>
      </c>
      <c r="S21" s="68"/>
      <c r="T21" s="66"/>
      <c r="U21" s="83"/>
      <c r="V21" s="66" t="s">
        <v>349</v>
      </c>
      <c r="W21" s="67">
        <v>33</v>
      </c>
      <c r="X21" s="67" t="s">
        <v>225</v>
      </c>
      <c r="Y21" s="71" t="s">
        <v>64</v>
      </c>
      <c r="Z21" s="84"/>
      <c r="AA21" s="66" t="s">
        <v>349</v>
      </c>
      <c r="AB21" s="67">
        <v>33</v>
      </c>
      <c r="AC21" s="67" t="s">
        <v>225</v>
      </c>
      <c r="AD21" s="71" t="s">
        <v>64</v>
      </c>
      <c r="AE21" s="84"/>
    </row>
    <row r="22" spans="1:31">
      <c r="A22" s="57" t="s">
        <v>33</v>
      </c>
      <c r="B22" s="1">
        <v>0</v>
      </c>
      <c r="C22" s="6">
        <v>32</v>
      </c>
      <c r="D22" s="85"/>
      <c r="E22" s="66" t="s">
        <v>350</v>
      </c>
      <c r="F22" s="67">
        <v>32</v>
      </c>
      <c r="G22" s="67" t="s">
        <v>225</v>
      </c>
      <c r="H22" s="65" t="s">
        <v>64</v>
      </c>
      <c r="I22" s="86"/>
      <c r="J22" s="66" t="s">
        <v>350</v>
      </c>
      <c r="K22" s="67">
        <v>32</v>
      </c>
      <c r="L22" s="67" t="s">
        <v>225</v>
      </c>
      <c r="M22" s="60" t="s">
        <v>64</v>
      </c>
      <c r="N22" s="84"/>
      <c r="O22" s="66"/>
      <c r="P22" s="67">
        <v>0</v>
      </c>
      <c r="Q22" s="67" t="s">
        <v>461</v>
      </c>
      <c r="R22" s="67" t="s">
        <v>461</v>
      </c>
      <c r="S22" s="68"/>
      <c r="T22" s="66"/>
      <c r="U22" s="83"/>
      <c r="V22" s="66" t="s">
        <v>351</v>
      </c>
      <c r="W22" s="67">
        <v>32</v>
      </c>
      <c r="X22" s="67" t="s">
        <v>247</v>
      </c>
      <c r="Y22" s="71" t="s">
        <v>251</v>
      </c>
      <c r="Z22" s="84"/>
      <c r="AA22" s="66" t="s">
        <v>351</v>
      </c>
      <c r="AB22" s="67">
        <v>32</v>
      </c>
      <c r="AC22" s="67" t="s">
        <v>247</v>
      </c>
      <c r="AD22" s="71" t="s">
        <v>251</v>
      </c>
      <c r="AE22" s="84"/>
    </row>
    <row r="23" spans="1:31">
      <c r="A23" s="57" t="s">
        <v>35</v>
      </c>
      <c r="B23" s="1">
        <v>32</v>
      </c>
      <c r="C23" s="6">
        <v>32</v>
      </c>
      <c r="D23" s="85"/>
      <c r="E23" s="66"/>
      <c r="F23" s="67">
        <v>0</v>
      </c>
      <c r="G23" s="67" t="s">
        <v>461</v>
      </c>
      <c r="H23" s="65" t="s">
        <v>461</v>
      </c>
      <c r="I23" s="83"/>
      <c r="J23" s="66"/>
      <c r="K23" s="67">
        <v>0</v>
      </c>
      <c r="L23" s="67" t="s">
        <v>461</v>
      </c>
      <c r="M23" s="60" t="s">
        <v>461</v>
      </c>
      <c r="N23" s="84"/>
      <c r="O23" s="66"/>
      <c r="P23" s="67">
        <v>0</v>
      </c>
      <c r="Q23" s="67" t="s">
        <v>461</v>
      </c>
      <c r="R23" s="67" t="s">
        <v>461</v>
      </c>
      <c r="S23" s="68"/>
      <c r="T23" s="66"/>
      <c r="U23" s="104" t="s">
        <v>202</v>
      </c>
      <c r="V23" s="77" t="s">
        <v>202</v>
      </c>
      <c r="W23" s="78">
        <v>32</v>
      </c>
      <c r="X23" s="78" t="s">
        <v>201</v>
      </c>
      <c r="Y23" s="81" t="s">
        <v>220</v>
      </c>
      <c r="Z23" s="82"/>
      <c r="AA23" s="77" t="s">
        <v>202</v>
      </c>
      <c r="AB23" s="78">
        <v>32</v>
      </c>
      <c r="AC23" s="78" t="s">
        <v>201</v>
      </c>
      <c r="AD23" s="81" t="s">
        <v>220</v>
      </c>
      <c r="AE23" s="82"/>
    </row>
    <row r="24" spans="1:31">
      <c r="A24" s="57" t="s">
        <v>37</v>
      </c>
      <c r="B24" s="1">
        <v>29</v>
      </c>
      <c r="C24" s="6">
        <v>34</v>
      </c>
      <c r="D24" s="85"/>
      <c r="E24" s="66" t="s">
        <v>352</v>
      </c>
      <c r="F24" s="67">
        <v>34</v>
      </c>
      <c r="G24" s="67" t="s">
        <v>225</v>
      </c>
      <c r="H24" s="65" t="s">
        <v>62</v>
      </c>
      <c r="I24" s="83"/>
      <c r="J24" s="66" t="s">
        <v>352</v>
      </c>
      <c r="K24" s="67">
        <v>34</v>
      </c>
      <c r="L24" s="67" t="s">
        <v>225</v>
      </c>
      <c r="M24" s="60" t="s">
        <v>62</v>
      </c>
      <c r="N24" s="84"/>
      <c r="O24" s="66"/>
      <c r="P24" s="67">
        <v>0</v>
      </c>
      <c r="Q24" s="67" t="s">
        <v>461</v>
      </c>
      <c r="R24" s="67" t="s">
        <v>461</v>
      </c>
      <c r="S24" s="68"/>
      <c r="T24" s="66"/>
      <c r="U24" s="83"/>
      <c r="V24" s="66" t="s">
        <v>353</v>
      </c>
      <c r="W24" s="67">
        <v>34</v>
      </c>
      <c r="X24" s="67" t="s">
        <v>216</v>
      </c>
      <c r="Y24" s="71" t="s">
        <v>221</v>
      </c>
      <c r="Z24" s="84"/>
      <c r="AA24" s="66"/>
      <c r="AB24" s="67">
        <v>0</v>
      </c>
      <c r="AC24" s="67" t="s">
        <v>461</v>
      </c>
      <c r="AD24" s="71" t="s">
        <v>461</v>
      </c>
      <c r="AE24" s="84"/>
    </row>
    <row r="25" spans="1:31">
      <c r="A25" s="57" t="s">
        <v>39</v>
      </c>
      <c r="B25" s="1">
        <v>29</v>
      </c>
      <c r="C25" s="6">
        <v>35</v>
      </c>
      <c r="D25" s="105"/>
      <c r="E25" s="97" t="s">
        <v>354</v>
      </c>
      <c r="F25" s="98">
        <v>34</v>
      </c>
      <c r="G25" s="98" t="s">
        <v>163</v>
      </c>
      <c r="H25" s="102" t="s">
        <v>270</v>
      </c>
      <c r="I25" s="96"/>
      <c r="J25" s="97" t="s">
        <v>354</v>
      </c>
      <c r="K25" s="98">
        <v>34</v>
      </c>
      <c r="L25" s="98" t="s">
        <v>163</v>
      </c>
      <c r="M25" s="99" t="s">
        <v>270</v>
      </c>
      <c r="N25" s="84"/>
      <c r="O25" s="66"/>
      <c r="P25" s="67">
        <v>0</v>
      </c>
      <c r="Q25" s="67" t="s">
        <v>461</v>
      </c>
      <c r="R25" s="67" t="s">
        <v>461</v>
      </c>
      <c r="S25" s="68"/>
      <c r="T25" s="66"/>
      <c r="U25" s="83"/>
      <c r="V25" s="66" t="s">
        <v>355</v>
      </c>
      <c r="W25" s="67">
        <v>28</v>
      </c>
      <c r="X25" s="67" t="s">
        <v>225</v>
      </c>
      <c r="Y25" s="71" t="s">
        <v>212</v>
      </c>
      <c r="Z25" s="84"/>
      <c r="AA25" s="66" t="s">
        <v>355</v>
      </c>
      <c r="AB25" s="67">
        <v>28</v>
      </c>
      <c r="AC25" s="67" t="s">
        <v>225</v>
      </c>
      <c r="AD25" s="71" t="s">
        <v>212</v>
      </c>
      <c r="AE25" s="84"/>
    </row>
    <row r="26" spans="1:31">
      <c r="A26" s="57" t="s">
        <v>41</v>
      </c>
      <c r="B26" s="1">
        <v>29</v>
      </c>
      <c r="C26" s="6">
        <v>35</v>
      </c>
      <c r="D26" s="106"/>
      <c r="E26" s="90" t="s">
        <v>356</v>
      </c>
      <c r="F26" s="91">
        <v>31</v>
      </c>
      <c r="G26" s="91" t="s">
        <v>163</v>
      </c>
      <c r="H26" s="107" t="s">
        <v>267</v>
      </c>
      <c r="I26" s="93"/>
      <c r="J26" s="90" t="s">
        <v>356</v>
      </c>
      <c r="K26" s="91">
        <v>31</v>
      </c>
      <c r="L26" s="91" t="s">
        <v>163</v>
      </c>
      <c r="M26" s="94" t="s">
        <v>267</v>
      </c>
      <c r="N26" s="84"/>
      <c r="O26" s="66"/>
      <c r="P26" s="67">
        <v>0</v>
      </c>
      <c r="Q26" s="67" t="s">
        <v>461</v>
      </c>
      <c r="R26" s="67" t="s">
        <v>461</v>
      </c>
      <c r="S26" s="68"/>
      <c r="T26" s="66"/>
      <c r="U26" s="83"/>
      <c r="V26" s="68" t="s">
        <v>357</v>
      </c>
      <c r="W26" s="67">
        <v>34</v>
      </c>
      <c r="X26" s="67" t="s">
        <v>216</v>
      </c>
      <c r="Y26" s="71" t="s">
        <v>219</v>
      </c>
      <c r="Z26" s="83"/>
      <c r="AA26" s="66"/>
      <c r="AB26" s="67">
        <v>0</v>
      </c>
      <c r="AC26" s="67" t="s">
        <v>461</v>
      </c>
      <c r="AD26" s="71" t="s">
        <v>461</v>
      </c>
      <c r="AE26" s="83"/>
    </row>
    <row r="27" spans="1:31">
      <c r="A27" s="57" t="s">
        <v>43</v>
      </c>
      <c r="B27" s="1">
        <v>29</v>
      </c>
      <c r="C27" s="6">
        <v>38</v>
      </c>
      <c r="D27" s="85"/>
      <c r="E27" s="66" t="s">
        <v>358</v>
      </c>
      <c r="F27" s="67">
        <v>38</v>
      </c>
      <c r="G27" s="67" t="s">
        <v>225</v>
      </c>
      <c r="H27" s="70" t="s">
        <v>212</v>
      </c>
      <c r="I27" s="83"/>
      <c r="J27" s="66" t="s">
        <v>358</v>
      </c>
      <c r="K27" s="67">
        <v>38</v>
      </c>
      <c r="L27" s="67" t="s">
        <v>225</v>
      </c>
      <c r="M27" s="71" t="s">
        <v>212</v>
      </c>
      <c r="N27" s="84"/>
      <c r="O27" s="66"/>
      <c r="P27" s="67">
        <v>0</v>
      </c>
      <c r="Q27" s="67" t="s">
        <v>461</v>
      </c>
      <c r="R27" s="67" t="s">
        <v>461</v>
      </c>
      <c r="S27" s="68"/>
      <c r="T27" s="66"/>
      <c r="U27" s="108" t="s">
        <v>359</v>
      </c>
      <c r="V27" s="109" t="s">
        <v>359</v>
      </c>
      <c r="W27" s="110">
        <v>32</v>
      </c>
      <c r="X27" s="110" t="s">
        <v>163</v>
      </c>
      <c r="Y27" s="111" t="s">
        <v>267</v>
      </c>
      <c r="Z27" s="112"/>
      <c r="AA27" s="109" t="s">
        <v>359</v>
      </c>
      <c r="AB27" s="110">
        <v>32</v>
      </c>
      <c r="AC27" s="110" t="s">
        <v>163</v>
      </c>
      <c r="AD27" s="111" t="s">
        <v>267</v>
      </c>
      <c r="AE27" s="112"/>
    </row>
    <row r="28" spans="1:31" ht="17.25" thickBot="1">
      <c r="A28" s="113" t="s">
        <v>45</v>
      </c>
      <c r="B28" s="114">
        <v>29</v>
      </c>
      <c r="C28" s="115">
        <v>35</v>
      </c>
      <c r="D28" s="116"/>
      <c r="E28" s="117" t="s">
        <v>360</v>
      </c>
      <c r="F28" s="118">
        <v>34</v>
      </c>
      <c r="G28" s="118" t="s">
        <v>225</v>
      </c>
      <c r="H28" s="119" t="s">
        <v>75</v>
      </c>
      <c r="I28" s="120"/>
      <c r="J28" s="117" t="s">
        <v>360</v>
      </c>
      <c r="K28" s="118">
        <v>34</v>
      </c>
      <c r="L28" s="118" t="s">
        <v>225</v>
      </c>
      <c r="M28" s="121" t="s">
        <v>75</v>
      </c>
      <c r="N28" s="122"/>
      <c r="O28" s="117"/>
      <c r="P28" s="118">
        <v>0</v>
      </c>
      <c r="Q28" s="118" t="s">
        <v>461</v>
      </c>
      <c r="R28" s="118" t="s">
        <v>461</v>
      </c>
      <c r="S28" s="123"/>
      <c r="T28" s="117"/>
      <c r="U28" s="120"/>
      <c r="V28" s="117" t="s">
        <v>361</v>
      </c>
      <c r="W28" s="118">
        <v>34</v>
      </c>
      <c r="X28" s="118" t="s">
        <v>216</v>
      </c>
      <c r="Y28" s="119" t="s">
        <v>222</v>
      </c>
      <c r="Z28" s="122"/>
      <c r="AA28" s="117" t="s">
        <v>362</v>
      </c>
      <c r="AB28" s="118">
        <v>34</v>
      </c>
      <c r="AC28" s="118" t="s">
        <v>216</v>
      </c>
      <c r="AD28" s="119" t="s">
        <v>222</v>
      </c>
      <c r="AE28" s="122"/>
    </row>
    <row r="29" spans="1:31" hidden="1">
      <c r="A29" s="124" t="s">
        <v>51</v>
      </c>
      <c r="B29" s="125">
        <v>29</v>
      </c>
      <c r="C29" s="126">
        <v>30</v>
      </c>
      <c r="D29" s="127"/>
      <c r="E29" s="128"/>
      <c r="F29" s="125"/>
      <c r="G29" s="125"/>
      <c r="H29" s="129"/>
      <c r="I29" s="130"/>
      <c r="J29" s="128"/>
      <c r="K29" s="125"/>
      <c r="L29" s="125"/>
      <c r="M29" s="129"/>
      <c r="N29" s="131"/>
      <c r="O29" s="128"/>
      <c r="P29" s="125"/>
      <c r="Q29" s="125"/>
      <c r="R29" s="125"/>
      <c r="S29" s="130"/>
      <c r="T29" s="128"/>
      <c r="U29" s="132"/>
      <c r="V29" s="128"/>
      <c r="W29" s="125">
        <f>IFERROR(_xlfn.XLOOKUP(V29,[1]Classes!$B:$B,[1]Classes!$I:$I),"")</f>
        <v>0</v>
      </c>
      <c r="X29" s="125"/>
      <c r="Y29" s="129"/>
      <c r="Z29" s="131"/>
      <c r="AA29" s="128"/>
      <c r="AB29" s="125"/>
      <c r="AC29" s="125"/>
      <c r="AD29" s="129"/>
      <c r="AE29" s="131"/>
    </row>
    <row r="30" spans="1:31" hidden="1">
      <c r="A30" s="133" t="s">
        <v>52</v>
      </c>
      <c r="B30" s="1">
        <v>29</v>
      </c>
      <c r="C30" s="6">
        <v>30</v>
      </c>
      <c r="D30" s="58"/>
      <c r="E30" s="97"/>
      <c r="F30" s="98"/>
      <c r="G30" s="98"/>
      <c r="H30" s="99"/>
      <c r="I30" s="96"/>
      <c r="J30" s="97"/>
      <c r="K30" s="98"/>
      <c r="L30" s="98"/>
      <c r="M30" s="99"/>
      <c r="N30" s="100"/>
      <c r="O30" s="97"/>
      <c r="P30" s="98"/>
      <c r="Q30" s="98"/>
      <c r="R30" s="98"/>
      <c r="S30" s="96"/>
      <c r="T30" s="109"/>
      <c r="U30" s="134"/>
      <c r="V30" s="97"/>
      <c r="W30" s="98"/>
      <c r="X30" s="98"/>
      <c r="Y30" s="99"/>
      <c r="Z30" s="100"/>
      <c r="AA30" s="97"/>
      <c r="AB30" s="98"/>
      <c r="AC30" s="98"/>
      <c r="AD30" s="99"/>
      <c r="AE30" s="135"/>
    </row>
    <row r="31" spans="1:31" hidden="1">
      <c r="A31" s="133" t="s">
        <v>50</v>
      </c>
      <c r="B31" s="1">
        <v>29</v>
      </c>
      <c r="C31" s="6">
        <v>30</v>
      </c>
      <c r="D31" s="58"/>
      <c r="E31" s="59"/>
      <c r="F31" s="1">
        <f>IFERROR(_xlfn.XLOOKUP(E31,[1]Classes!$B:$B,[1]Classes!$I:$I),"")</f>
        <v>0</v>
      </c>
      <c r="G31" s="1" t="str">
        <f>IFERROR(VLOOKUP($E31,[1]Classes!$B:$E,3,0),"")</f>
        <v/>
      </c>
      <c r="H31" s="60" t="str">
        <f>IFERROR(VLOOKUP($E31,[1]Classes!$B:$E,4,0),"")</f>
        <v/>
      </c>
      <c r="I31" s="69"/>
      <c r="J31" s="59"/>
      <c r="K31" s="1">
        <f>IFERROR(_xlfn.XLOOKUP(J31,[1]Classes!$B:$B,[1]Classes!$I:$I),"")</f>
        <v>0</v>
      </c>
      <c r="L31" s="1" t="str">
        <f>IFERROR(VLOOKUP($J31,[1]Classes!$B:$E,3,0),"")</f>
        <v/>
      </c>
      <c r="M31" s="60" t="str">
        <f>IFERROR(VLOOKUP($J31,[1]Classes!$B:$E,4,0),"")</f>
        <v/>
      </c>
      <c r="N31" s="62"/>
      <c r="O31" s="59"/>
      <c r="P31" s="1">
        <f>IFERROR(_xlfn.XLOOKUP(O31,[1]Classes!$B:$B,[1]Classes!$I:$I),"")</f>
        <v>0</v>
      </c>
      <c r="Q31" s="1" t="str">
        <f>IFERROR(VLOOKUP($O31,[1]Classes!$B:$E,3,0),"")</f>
        <v/>
      </c>
      <c r="R31" s="1" t="str">
        <f>IFERROR(VLOOKUP($O31,[1]Classes!$B:$E,4,0),"")</f>
        <v/>
      </c>
      <c r="S31" s="69"/>
      <c r="T31" s="97"/>
      <c r="U31" s="68"/>
      <c r="V31" s="59"/>
      <c r="W31" s="1">
        <f>IFERROR(_xlfn.XLOOKUP(V31,[1]Classes!$B:$B,[1]Classes!$I:$I),"")</f>
        <v>0</v>
      </c>
      <c r="X31" s="1" t="str">
        <f>IFERROR(VLOOKUP($V31,[1]Classes!$B:$E,3,0),"")</f>
        <v/>
      </c>
      <c r="Y31" s="60" t="str">
        <f>IFERROR(VLOOKUP($V31,[1]Classes!$B:$E,4,0),"")</f>
        <v/>
      </c>
      <c r="Z31" s="62"/>
      <c r="AA31" s="59"/>
      <c r="AB31" s="1">
        <f>IFERROR(_xlfn.XLOOKUP(AA31,[1]Classes!$B:$B,[1]Classes!$I:$I),"")</f>
        <v>0</v>
      </c>
      <c r="AC31" s="1" t="str">
        <f>IFERROR(VLOOKUP(AA31,[1]Classes!$B:$E,3,0),"")</f>
        <v/>
      </c>
      <c r="AD31" s="60" t="str">
        <f>IFERROR(VLOOKUP(AA31,[1]Classes!$B:$E,4,0),"")</f>
        <v/>
      </c>
      <c r="AE31" s="136"/>
    </row>
    <row r="32" spans="1:31" hidden="1">
      <c r="A32" s="133" t="s">
        <v>53</v>
      </c>
      <c r="B32" s="1">
        <v>29</v>
      </c>
      <c r="C32" s="6">
        <v>30</v>
      </c>
      <c r="D32" s="58"/>
      <c r="E32" s="59"/>
      <c r="F32" s="1">
        <f>IFERROR(_xlfn.XLOOKUP(E32,[1]Classes!$B:$B,[1]Classes!$I:$I),"")</f>
        <v>0</v>
      </c>
      <c r="G32" s="1" t="str">
        <f>IFERROR(VLOOKUP($E32,[1]Classes!$B:$E,3,0),"")</f>
        <v/>
      </c>
      <c r="H32" s="60" t="str">
        <f>IFERROR(VLOOKUP($E32,[1]Classes!$B:$E,4,0),"")</f>
        <v/>
      </c>
      <c r="I32" s="69"/>
      <c r="J32" s="59"/>
      <c r="K32" s="1">
        <f>IFERROR(_xlfn.XLOOKUP(J32,[1]Classes!$B:$B,[1]Classes!$I:$I),"")</f>
        <v>0</v>
      </c>
      <c r="L32" s="1" t="str">
        <f>IFERROR(VLOOKUP($J32,[1]Classes!$B:$E,3,0),"")</f>
        <v/>
      </c>
      <c r="M32" s="60" t="str">
        <f>IFERROR(VLOOKUP($J32,[1]Classes!$B:$E,4,0),"")</f>
        <v/>
      </c>
      <c r="N32" s="62"/>
      <c r="O32" s="59"/>
      <c r="P32" s="1">
        <f>IFERROR(_xlfn.XLOOKUP(O32,[1]Classes!$B:$B,[1]Classes!$I:$I),"")</f>
        <v>0</v>
      </c>
      <c r="Q32" s="1" t="str">
        <f>IFERROR(VLOOKUP($O32,[1]Classes!$B:$E,3,0),"")</f>
        <v/>
      </c>
      <c r="R32" s="1" t="str">
        <f>IFERROR(VLOOKUP($O32,[1]Classes!$B:$E,4,0),"")</f>
        <v/>
      </c>
      <c r="S32" s="69"/>
      <c r="T32" s="97"/>
      <c r="U32" s="68"/>
      <c r="V32" s="59"/>
      <c r="W32" s="1">
        <f>IFERROR(_xlfn.XLOOKUP(V32,[1]Classes!$B:$B,[1]Classes!$I:$I),"")</f>
        <v>0</v>
      </c>
      <c r="X32" s="1" t="str">
        <f>IFERROR(VLOOKUP($V32,[1]Classes!$B:$E,3,0),"")</f>
        <v/>
      </c>
      <c r="Y32" s="60" t="str">
        <f>IFERROR(VLOOKUP($V32,[1]Classes!$B:$E,4,0),"")</f>
        <v/>
      </c>
      <c r="Z32" s="62"/>
      <c r="AA32" s="59"/>
      <c r="AB32" s="1">
        <f>IFERROR(_xlfn.XLOOKUP(AA32,[1]Classes!$B:$B,[1]Classes!$I:$I),"")</f>
        <v>0</v>
      </c>
      <c r="AC32" s="1" t="str">
        <f>IFERROR(VLOOKUP(AA32,[1]Classes!$B:$E,3,0),"")</f>
        <v/>
      </c>
      <c r="AD32" s="60" t="str">
        <f>IFERROR(VLOOKUP(AA32,[1]Classes!$B:$E,4,0),"")</f>
        <v/>
      </c>
      <c r="AE32" s="136"/>
    </row>
    <row r="33" spans="1:31" hidden="1">
      <c r="A33" s="133" t="s">
        <v>48</v>
      </c>
      <c r="B33" s="1"/>
      <c r="C33" s="6">
        <v>80</v>
      </c>
      <c r="D33" s="58"/>
      <c r="E33" s="59"/>
      <c r="F33" s="1">
        <f>IFERROR(_xlfn.XLOOKUP(E33,[1]Classes!$B:$B,[1]Classes!$I:$I),"")</f>
        <v>0</v>
      </c>
      <c r="G33" s="1" t="str">
        <f>IFERROR(VLOOKUP($E33,[1]Classes!$B:$E,3,0),"")</f>
        <v/>
      </c>
      <c r="H33" s="60" t="str">
        <f>IFERROR(VLOOKUP($E33,[1]Classes!$B:$E,4,0),"")</f>
        <v/>
      </c>
      <c r="I33" s="69"/>
      <c r="J33" s="59"/>
      <c r="K33" s="1">
        <f>IFERROR(_xlfn.XLOOKUP(J33,[1]Classes!$B:$B,[1]Classes!$I:$I),"")</f>
        <v>0</v>
      </c>
      <c r="L33" s="1" t="str">
        <f>IFERROR(VLOOKUP($J33,[1]Classes!$B:$E,3,0),"")</f>
        <v/>
      </c>
      <c r="M33" s="60" t="str">
        <f>IFERROR(VLOOKUP($J33,[1]Classes!$B:$E,4,0),"")</f>
        <v/>
      </c>
      <c r="N33" s="62"/>
      <c r="O33" s="59"/>
      <c r="P33" s="1">
        <f>IFERROR(_xlfn.XLOOKUP(O33,[1]Classes!$B:$B,[1]Classes!$I:$I),"")</f>
        <v>0</v>
      </c>
      <c r="Q33" s="1" t="str">
        <f>IFERROR(VLOOKUP($O33,[1]Classes!$B:$E,3,0),"")</f>
        <v/>
      </c>
      <c r="R33" s="1" t="str">
        <f>IFERROR(VLOOKUP($O33,[1]Classes!$B:$E,4,0),"")</f>
        <v/>
      </c>
      <c r="S33" s="69"/>
      <c r="T33" s="97"/>
      <c r="U33" s="68"/>
      <c r="V33" s="59"/>
      <c r="W33" s="1">
        <f>IFERROR(_xlfn.XLOOKUP(V33,[1]Classes!$B:$B,[1]Classes!$I:$I),"")</f>
        <v>0</v>
      </c>
      <c r="X33" s="1" t="str">
        <f>IFERROR(VLOOKUP($V33,[1]Classes!$B:$E,3,0),"")</f>
        <v/>
      </c>
      <c r="Y33" s="60" t="str">
        <f>IFERROR(VLOOKUP($V33,[1]Classes!$B:$E,4,0),"")</f>
        <v/>
      </c>
      <c r="Z33" s="62"/>
      <c r="AA33" s="59"/>
      <c r="AB33" s="1">
        <f>IFERROR(_xlfn.XLOOKUP(AA33,[1]Classes!$B:$B,[1]Classes!$I:$I),"")</f>
        <v>0</v>
      </c>
      <c r="AC33" s="1" t="str">
        <f>IFERROR(VLOOKUP(AA33,[1]Classes!$B:$E,3,0),"")</f>
        <v/>
      </c>
      <c r="AD33" s="60" t="str">
        <f>IFERROR(VLOOKUP(AA33,[1]Classes!$B:$E,4,0),"")</f>
        <v/>
      </c>
      <c r="AE33" s="136"/>
    </row>
    <row r="34" spans="1:31" hidden="1">
      <c r="A34" s="133" t="s">
        <v>49</v>
      </c>
      <c r="B34" s="1">
        <v>29</v>
      </c>
      <c r="C34" s="6">
        <v>30</v>
      </c>
      <c r="D34" s="58"/>
      <c r="E34" s="59"/>
      <c r="F34" s="1">
        <f>IFERROR(_xlfn.XLOOKUP(E34,[1]Classes!$B:$B,[1]Classes!$I:$I),"")</f>
        <v>0</v>
      </c>
      <c r="G34" s="1" t="str">
        <f>IFERROR(VLOOKUP($E34,[1]Classes!$B:$E,3,0),"")</f>
        <v/>
      </c>
      <c r="H34" s="60" t="str">
        <f>IFERROR(VLOOKUP($E34,[1]Classes!$B:$E,4,0),"")</f>
        <v/>
      </c>
      <c r="I34" s="69"/>
      <c r="J34" s="59"/>
      <c r="K34" s="1">
        <f>IFERROR(_xlfn.XLOOKUP(J34,[1]Classes!$B:$B,[1]Classes!$I:$I),"")</f>
        <v>0</v>
      </c>
      <c r="L34" s="1" t="str">
        <f>IFERROR(VLOOKUP($J34,[1]Classes!$B:$E,3,0),"")</f>
        <v/>
      </c>
      <c r="M34" s="60" t="str">
        <f>IFERROR(VLOOKUP($J34,[1]Classes!$B:$E,4,0),"")</f>
        <v/>
      </c>
      <c r="N34" s="62"/>
      <c r="O34" s="59"/>
      <c r="P34" s="1">
        <f>IFERROR(_xlfn.XLOOKUP(O34,[1]Classes!$B:$B,[1]Classes!$I:$I),"")</f>
        <v>0</v>
      </c>
      <c r="Q34" s="1" t="str">
        <f>IFERROR(VLOOKUP($O34,[1]Classes!$B:$E,3,0),"")</f>
        <v/>
      </c>
      <c r="R34" s="1" t="str">
        <f>IFERROR(VLOOKUP($O34,[1]Classes!$B:$E,4,0),"")</f>
        <v/>
      </c>
      <c r="S34" s="69"/>
      <c r="T34" s="97"/>
      <c r="U34" s="68"/>
      <c r="V34" s="59"/>
      <c r="W34" s="1">
        <f>IFERROR(_xlfn.XLOOKUP(V34,[1]Classes!$B:$B,[1]Classes!$I:$I),"")</f>
        <v>0</v>
      </c>
      <c r="X34" s="1" t="str">
        <f>IFERROR(VLOOKUP($V34,[1]Classes!$B:$E,3,0),"")</f>
        <v/>
      </c>
      <c r="Y34" s="60" t="str">
        <f>IFERROR(VLOOKUP($V34,[1]Classes!$B:$E,4,0),"")</f>
        <v/>
      </c>
      <c r="Z34" s="62"/>
      <c r="AA34" s="59"/>
      <c r="AB34" s="1">
        <f>IFERROR(_xlfn.XLOOKUP(AA34,[1]Classes!$B:$B,[1]Classes!$I:$I),"")</f>
        <v>0</v>
      </c>
      <c r="AC34" s="1" t="str">
        <f>IFERROR(VLOOKUP(AA34,[1]Classes!$B:$E,3,0),"")</f>
        <v/>
      </c>
      <c r="AD34" s="60" t="str">
        <f>IFERROR(VLOOKUP(AA34,[1]Classes!$B:$E,4,0),"")</f>
        <v/>
      </c>
      <c r="AE34" s="136"/>
    </row>
    <row r="35" spans="1:31" hidden="1">
      <c r="A35" s="133" t="s">
        <v>47</v>
      </c>
      <c r="B35" s="1"/>
      <c r="C35" s="6">
        <v>80</v>
      </c>
      <c r="D35" s="58"/>
      <c r="E35" s="59"/>
      <c r="F35" s="1">
        <f>IFERROR(_xlfn.XLOOKUP(E35,[1]Classes!$B:$B,[1]Classes!$I:$I),"")</f>
        <v>0</v>
      </c>
      <c r="G35" s="1" t="str">
        <f>IFERROR(VLOOKUP($E35,[1]Classes!$B:$E,3,0),"")</f>
        <v/>
      </c>
      <c r="H35" s="60" t="str">
        <f>IFERROR(VLOOKUP($E35,[1]Classes!$B:$E,4,0),"")</f>
        <v/>
      </c>
      <c r="I35" s="69"/>
      <c r="J35" s="59"/>
      <c r="K35" s="1">
        <f>IFERROR(_xlfn.XLOOKUP(J35,[1]Classes!$B:$B,[1]Classes!$I:$I),"")</f>
        <v>0</v>
      </c>
      <c r="L35" s="1" t="str">
        <f>IFERROR(VLOOKUP($J35,[1]Classes!$B:$E,3,0),"")</f>
        <v/>
      </c>
      <c r="M35" s="60" t="str">
        <f>IFERROR(VLOOKUP($J35,[1]Classes!$B:$E,4,0),"")</f>
        <v/>
      </c>
      <c r="N35" s="62"/>
      <c r="O35" s="59"/>
      <c r="P35" s="1">
        <f>IFERROR(_xlfn.XLOOKUP(O35,[1]Classes!$B:$B,[1]Classes!$I:$I),"")</f>
        <v>0</v>
      </c>
      <c r="Q35" s="1" t="str">
        <f>IFERROR(VLOOKUP($O35,[1]Classes!$B:$E,3,0),"")</f>
        <v/>
      </c>
      <c r="R35" s="1" t="str">
        <f>IFERROR(VLOOKUP($O35,[1]Classes!$B:$E,4,0),"")</f>
        <v/>
      </c>
      <c r="S35" s="69"/>
      <c r="T35" s="97"/>
      <c r="U35" s="68"/>
      <c r="V35" s="59"/>
      <c r="W35" s="1">
        <f>IFERROR(_xlfn.XLOOKUP(V35,[1]Classes!$B:$B,[1]Classes!$I:$I),"")</f>
        <v>0</v>
      </c>
      <c r="X35" s="1" t="str">
        <f>IFERROR(VLOOKUP($V35,[1]Classes!$B:$E,3,0),"")</f>
        <v/>
      </c>
      <c r="Y35" s="60" t="str">
        <f>IFERROR(VLOOKUP($V35,[1]Classes!$B:$E,4,0),"")</f>
        <v/>
      </c>
      <c r="Z35" s="62"/>
      <c r="AA35" s="59"/>
      <c r="AB35" s="1">
        <f>IFERROR(_xlfn.XLOOKUP(AA35,[1]Classes!$B:$B,[1]Classes!$I:$I),"")</f>
        <v>0</v>
      </c>
      <c r="AC35" s="1" t="str">
        <f>IFERROR(VLOOKUP(AA35,[1]Classes!$B:$E,3,0),"")</f>
        <v/>
      </c>
      <c r="AD35" s="60" t="str">
        <f>IFERROR(VLOOKUP(AA35,[1]Classes!$B:$E,4,0),"")</f>
        <v/>
      </c>
      <c r="AE35" s="136"/>
    </row>
    <row r="36" spans="1:31" ht="17.25" hidden="1" thickBot="1">
      <c r="A36" s="133" t="s">
        <v>47</v>
      </c>
      <c r="B36" s="1"/>
      <c r="C36" s="6">
        <v>80</v>
      </c>
      <c r="D36" s="137"/>
      <c r="E36" s="138"/>
      <c r="F36" s="114">
        <f>IFERROR(_xlfn.XLOOKUP(E36,[1]Classes!$B:$B,[1]Classes!$I:$I),"")</f>
        <v>0</v>
      </c>
      <c r="G36" s="114" t="str">
        <f>IFERROR(VLOOKUP($E36,[1]Classes!$B:$E,3,0),"")</f>
        <v/>
      </c>
      <c r="H36" s="121" t="str">
        <f>IFERROR(VLOOKUP($E36,[1]Classes!$B:$E,4,0),"")</f>
        <v/>
      </c>
      <c r="I36" s="139"/>
      <c r="J36" s="138"/>
      <c r="K36" s="114">
        <f>IFERROR(_xlfn.XLOOKUP(J36,[1]Classes!$B:$B,[1]Classes!$I:$I),"")</f>
        <v>0</v>
      </c>
      <c r="L36" s="114" t="str">
        <f>IFERROR(VLOOKUP($J36,[1]Classes!$B:$E,3,0),"")</f>
        <v/>
      </c>
      <c r="M36" s="121" t="str">
        <f>IFERROR(VLOOKUP($J36,[1]Classes!$B:$E,4,0),"")</f>
        <v/>
      </c>
      <c r="N36" s="140"/>
      <c r="O36" s="138"/>
      <c r="P36" s="114">
        <f>IFERROR(_xlfn.XLOOKUP(O36,[1]Classes!$B:$B,[1]Classes!$I:$I),"")</f>
        <v>0</v>
      </c>
      <c r="Q36" s="114"/>
      <c r="R36" s="114"/>
      <c r="S36" s="139"/>
      <c r="T36" s="141"/>
      <c r="U36" s="123"/>
      <c r="V36" s="138"/>
      <c r="W36" s="114">
        <f>IFERROR(_xlfn.XLOOKUP(V36,[1]Classes!$B:$B,[1]Classes!$I:$I),"")</f>
        <v>0</v>
      </c>
      <c r="X36" s="114" t="str">
        <f>IFERROR(VLOOKUP($V36,'[1]Approved 20EC'!#REF!,2,0),"")</f>
        <v/>
      </c>
      <c r="Y36" s="121" t="str">
        <f>IFERROR(VLOOKUP($V36,'[1]Approved 20EC'!#REF!,4,0),"")</f>
        <v/>
      </c>
      <c r="Z36" s="140"/>
      <c r="AA36" s="138"/>
      <c r="AB36" s="114">
        <f>IFERROR(_xlfn.XLOOKUP(AA36,[1]Classes!$B:$B,[1]Classes!$I:$I),"")</f>
        <v>0</v>
      </c>
      <c r="AC36" s="114" t="str">
        <f>IFERROR(VLOOKUP($AA36,'[1]Approved 20EC'!#REF!,2,0),"")</f>
        <v/>
      </c>
      <c r="AD36" s="121" t="str">
        <f>IFERROR(VLOOKUP($AA36,'[1]Approved 20EC'!#REF!,4,0),"")</f>
        <v/>
      </c>
      <c r="AE36" s="142"/>
    </row>
    <row r="38" spans="1:31">
      <c r="A38" s="143" t="s">
        <v>363</v>
      </c>
      <c r="F38" s="144" t="s">
        <v>364</v>
      </c>
      <c r="G38" s="144" t="s">
        <v>212</v>
      </c>
      <c r="H38" s="144">
        <f t="shared" ref="H38:H62" si="0">COUNTIF($H$3:$H$36,G38)</f>
        <v>1</v>
      </c>
      <c r="I38" s="145"/>
      <c r="J38" s="145"/>
      <c r="K38" s="144" t="s">
        <v>364</v>
      </c>
      <c r="L38" s="144" t="s">
        <v>212</v>
      </c>
      <c r="M38" s="144">
        <f t="shared" ref="M38:M62" si="1">COUNTIF(M$3:M$36,L38)</f>
        <v>1</v>
      </c>
      <c r="N38" s="144"/>
      <c r="O38" s="146"/>
      <c r="P38" s="144" t="s">
        <v>364</v>
      </c>
      <c r="Q38" s="144" t="s">
        <v>212</v>
      </c>
      <c r="R38" s="144">
        <f t="shared" ref="R38:R62" si="2">COUNTIF(R$3:R$36,Q38)</f>
        <v>0</v>
      </c>
      <c r="S38" s="146"/>
      <c r="T38" s="146"/>
      <c r="U38" s="146"/>
      <c r="V38" s="146"/>
      <c r="W38" s="146"/>
      <c r="X38" s="144" t="s">
        <v>364</v>
      </c>
      <c r="Y38" s="144" t="s">
        <v>212</v>
      </c>
      <c r="Z38" s="144">
        <f t="shared" ref="Z38:Z62" si="3">COUNTIF(Y$3:Y$36,Y38)</f>
        <v>1</v>
      </c>
      <c r="AA38" s="146"/>
      <c r="AB38" s="146"/>
      <c r="AC38" s="144" t="s">
        <v>364</v>
      </c>
      <c r="AD38" s="144" t="s">
        <v>212</v>
      </c>
      <c r="AE38" s="144">
        <f t="shared" ref="AE38:AE62" si="4">COUNTIF(AD$3:AD$28,AD38)</f>
        <v>1</v>
      </c>
    </row>
    <row r="39" spans="1:31">
      <c r="F39" s="144" t="s">
        <v>364</v>
      </c>
      <c r="G39" s="144" t="s">
        <v>80</v>
      </c>
      <c r="H39" s="144">
        <f t="shared" si="0"/>
        <v>1</v>
      </c>
      <c r="I39" s="144"/>
      <c r="J39" s="145"/>
      <c r="K39" s="144" t="s">
        <v>364</v>
      </c>
      <c r="L39" s="144" t="s">
        <v>80</v>
      </c>
      <c r="M39" s="144">
        <f t="shared" si="1"/>
        <v>1</v>
      </c>
      <c r="N39" s="144"/>
      <c r="O39" s="146"/>
      <c r="P39" s="144" t="s">
        <v>364</v>
      </c>
      <c r="Q39" s="144" t="s">
        <v>80</v>
      </c>
      <c r="R39" s="144">
        <f t="shared" si="2"/>
        <v>0</v>
      </c>
      <c r="S39" s="146"/>
      <c r="T39" s="146"/>
      <c r="U39" s="146"/>
      <c r="V39" s="146"/>
      <c r="W39" s="146"/>
      <c r="X39" s="144" t="s">
        <v>364</v>
      </c>
      <c r="Y39" s="144" t="s">
        <v>80</v>
      </c>
      <c r="Z39" s="144">
        <f t="shared" si="3"/>
        <v>1</v>
      </c>
      <c r="AA39" s="146"/>
      <c r="AB39" s="146"/>
      <c r="AC39" s="144" t="s">
        <v>364</v>
      </c>
      <c r="AD39" s="144" t="s">
        <v>80</v>
      </c>
      <c r="AE39" s="144">
        <f t="shared" si="4"/>
        <v>1</v>
      </c>
    </row>
    <row r="40" spans="1:31">
      <c r="F40" s="144" t="s">
        <v>364</v>
      </c>
      <c r="G40" s="144" t="s">
        <v>59</v>
      </c>
      <c r="H40" s="144">
        <f t="shared" si="0"/>
        <v>1</v>
      </c>
      <c r="I40" s="144"/>
      <c r="J40" s="145"/>
      <c r="K40" s="144" t="s">
        <v>364</v>
      </c>
      <c r="L40" s="144" t="s">
        <v>59</v>
      </c>
      <c r="M40" s="144">
        <f t="shared" si="1"/>
        <v>1</v>
      </c>
      <c r="N40" s="144"/>
      <c r="O40" s="146"/>
      <c r="P40" s="144" t="s">
        <v>364</v>
      </c>
      <c r="Q40" s="144" t="s">
        <v>59</v>
      </c>
      <c r="R40" s="144">
        <f t="shared" si="2"/>
        <v>0</v>
      </c>
      <c r="S40" s="146"/>
      <c r="T40" s="146"/>
      <c r="U40" s="146"/>
      <c r="V40" s="146"/>
      <c r="W40" s="146"/>
      <c r="X40" s="144" t="s">
        <v>364</v>
      </c>
      <c r="Y40" s="144" t="s">
        <v>59</v>
      </c>
      <c r="Z40" s="144">
        <f t="shared" si="3"/>
        <v>0</v>
      </c>
      <c r="AA40" s="146"/>
      <c r="AB40" s="146"/>
      <c r="AC40" s="144" t="s">
        <v>364</v>
      </c>
      <c r="AD40" s="144" t="s">
        <v>59</v>
      </c>
      <c r="AE40" s="144">
        <f t="shared" si="4"/>
        <v>0</v>
      </c>
    </row>
    <row r="41" spans="1:31">
      <c r="F41" s="144" t="s">
        <v>364</v>
      </c>
      <c r="G41" s="144" t="s">
        <v>365</v>
      </c>
      <c r="H41" s="144">
        <f t="shared" si="0"/>
        <v>1</v>
      </c>
      <c r="I41" s="144"/>
      <c r="J41" s="145"/>
      <c r="K41" s="144" t="s">
        <v>364</v>
      </c>
      <c r="L41" s="144" t="s">
        <v>365</v>
      </c>
      <c r="M41" s="144">
        <f t="shared" si="1"/>
        <v>1</v>
      </c>
      <c r="N41" s="144"/>
      <c r="O41" s="146"/>
      <c r="P41" s="144" t="s">
        <v>364</v>
      </c>
      <c r="Q41" s="144" t="s">
        <v>365</v>
      </c>
      <c r="R41" s="144">
        <f t="shared" si="2"/>
        <v>0</v>
      </c>
      <c r="S41" s="146"/>
      <c r="T41" s="146"/>
      <c r="U41" s="146"/>
      <c r="V41" s="146"/>
      <c r="W41" s="146"/>
      <c r="X41" s="144" t="s">
        <v>364</v>
      </c>
      <c r="Y41" s="144" t="s">
        <v>365</v>
      </c>
      <c r="Z41" s="144">
        <f t="shared" si="3"/>
        <v>0</v>
      </c>
      <c r="AA41" s="146"/>
      <c r="AB41" s="146"/>
      <c r="AC41" s="144" t="s">
        <v>364</v>
      </c>
      <c r="AD41" s="144" t="s">
        <v>365</v>
      </c>
      <c r="AE41" s="144">
        <f t="shared" si="4"/>
        <v>0</v>
      </c>
    </row>
    <row r="42" spans="1:31">
      <c r="F42" s="144" t="s">
        <v>364</v>
      </c>
      <c r="G42" s="144" t="s">
        <v>173</v>
      </c>
      <c r="H42" s="144">
        <f t="shared" si="0"/>
        <v>1</v>
      </c>
      <c r="I42" s="144"/>
      <c r="J42" s="145"/>
      <c r="K42" s="144" t="s">
        <v>364</v>
      </c>
      <c r="L42" s="144" t="s">
        <v>173</v>
      </c>
      <c r="M42" s="144">
        <f t="shared" si="1"/>
        <v>1</v>
      </c>
      <c r="N42" s="144"/>
      <c r="O42" s="146"/>
      <c r="P42" s="144" t="s">
        <v>364</v>
      </c>
      <c r="Q42" s="144" t="s">
        <v>173</v>
      </c>
      <c r="R42" s="144">
        <f t="shared" si="2"/>
        <v>0</v>
      </c>
      <c r="S42" s="146"/>
      <c r="T42" s="146"/>
      <c r="U42" s="146"/>
      <c r="V42" s="146"/>
      <c r="W42" s="146"/>
      <c r="X42" s="144" t="s">
        <v>364</v>
      </c>
      <c r="Y42" s="144" t="s">
        <v>173</v>
      </c>
      <c r="Z42" s="144">
        <f t="shared" si="3"/>
        <v>0</v>
      </c>
      <c r="AA42" s="146"/>
      <c r="AB42" s="146"/>
      <c r="AC42" s="144" t="s">
        <v>364</v>
      </c>
      <c r="AD42" s="144" t="s">
        <v>173</v>
      </c>
      <c r="AE42" s="144">
        <f t="shared" si="4"/>
        <v>0</v>
      </c>
    </row>
    <row r="43" spans="1:31">
      <c r="F43" s="144" t="s">
        <v>364</v>
      </c>
      <c r="G43" s="144" t="s">
        <v>72</v>
      </c>
      <c r="H43" s="144">
        <f t="shared" si="0"/>
        <v>1</v>
      </c>
      <c r="I43" s="144"/>
      <c r="J43" s="144"/>
      <c r="K43" s="144" t="s">
        <v>364</v>
      </c>
      <c r="L43" s="144" t="s">
        <v>72</v>
      </c>
      <c r="M43" s="144">
        <f t="shared" si="1"/>
        <v>1</v>
      </c>
      <c r="N43" s="144"/>
      <c r="O43" s="146"/>
      <c r="P43" s="144" t="s">
        <v>364</v>
      </c>
      <c r="Q43" s="144" t="s">
        <v>72</v>
      </c>
      <c r="R43" s="144">
        <f t="shared" si="2"/>
        <v>0</v>
      </c>
      <c r="S43" s="146"/>
      <c r="T43" s="146"/>
      <c r="U43" s="146"/>
      <c r="V43" s="146"/>
      <c r="W43" s="146"/>
      <c r="X43" s="144" t="s">
        <v>364</v>
      </c>
      <c r="Y43" s="144" t="s">
        <v>72</v>
      </c>
      <c r="Z43" s="144">
        <f t="shared" si="3"/>
        <v>1</v>
      </c>
      <c r="AA43" s="146"/>
      <c r="AB43" s="146"/>
      <c r="AC43" s="144" t="s">
        <v>364</v>
      </c>
      <c r="AD43" s="144" t="s">
        <v>72</v>
      </c>
      <c r="AE43" s="144">
        <f t="shared" si="4"/>
        <v>1</v>
      </c>
    </row>
    <row r="44" spans="1:31">
      <c r="F44" s="144" t="s">
        <v>364</v>
      </c>
      <c r="G44" s="144" t="s">
        <v>304</v>
      </c>
      <c r="H44" s="144">
        <f t="shared" si="0"/>
        <v>1</v>
      </c>
      <c r="I44" s="144"/>
      <c r="J44" s="144"/>
      <c r="K44" s="144" t="s">
        <v>364</v>
      </c>
      <c r="L44" s="144" t="s">
        <v>304</v>
      </c>
      <c r="M44" s="144">
        <f t="shared" si="1"/>
        <v>1</v>
      </c>
      <c r="N44" s="144"/>
      <c r="O44" s="146"/>
      <c r="P44" s="144" t="s">
        <v>364</v>
      </c>
      <c r="Q44" s="144" t="s">
        <v>304</v>
      </c>
      <c r="R44" s="144">
        <f t="shared" si="2"/>
        <v>0</v>
      </c>
      <c r="S44" s="146"/>
      <c r="T44" s="146"/>
      <c r="U44" s="146"/>
      <c r="V44" s="146"/>
      <c r="W44" s="146"/>
      <c r="X44" s="144" t="s">
        <v>364</v>
      </c>
      <c r="Y44" s="144" t="s">
        <v>304</v>
      </c>
      <c r="Z44" s="144">
        <f t="shared" si="3"/>
        <v>1</v>
      </c>
      <c r="AA44" s="146"/>
      <c r="AB44" s="146"/>
      <c r="AC44" s="144" t="s">
        <v>364</v>
      </c>
      <c r="AD44" s="144" t="s">
        <v>304</v>
      </c>
      <c r="AE44" s="144">
        <f t="shared" si="4"/>
        <v>1</v>
      </c>
    </row>
    <row r="45" spans="1:31">
      <c r="F45" s="144" t="s">
        <v>366</v>
      </c>
      <c r="G45" s="144" t="s">
        <v>175</v>
      </c>
      <c r="H45" s="144">
        <f t="shared" si="0"/>
        <v>1</v>
      </c>
      <c r="I45" s="144"/>
      <c r="K45" s="144" t="s">
        <v>366</v>
      </c>
      <c r="L45" s="144" t="s">
        <v>175</v>
      </c>
      <c r="M45" s="144">
        <f t="shared" si="1"/>
        <v>1</v>
      </c>
      <c r="N45" s="144"/>
      <c r="O45" s="146"/>
      <c r="P45" s="144" t="s">
        <v>366</v>
      </c>
      <c r="Q45" s="144" t="s">
        <v>175</v>
      </c>
      <c r="R45" s="144">
        <f t="shared" si="2"/>
        <v>0</v>
      </c>
      <c r="S45" s="146"/>
      <c r="T45" s="146"/>
      <c r="U45" s="146"/>
      <c r="V45" s="146"/>
      <c r="W45" s="146"/>
      <c r="X45" s="144" t="s">
        <v>366</v>
      </c>
      <c r="Y45" s="144" t="s">
        <v>175</v>
      </c>
      <c r="Z45" s="144">
        <f t="shared" si="3"/>
        <v>1</v>
      </c>
      <c r="AA45" s="146"/>
      <c r="AB45" s="146"/>
      <c r="AC45" s="144" t="s">
        <v>366</v>
      </c>
      <c r="AD45" s="144" t="s">
        <v>175</v>
      </c>
      <c r="AE45" s="144">
        <f t="shared" si="4"/>
        <v>1</v>
      </c>
    </row>
    <row r="46" spans="1:31">
      <c r="F46" s="144" t="s">
        <v>366</v>
      </c>
      <c r="G46" s="144" t="s">
        <v>188</v>
      </c>
      <c r="H46" s="144">
        <f t="shared" si="0"/>
        <v>1</v>
      </c>
      <c r="I46" s="144"/>
      <c r="K46" s="144" t="s">
        <v>366</v>
      </c>
      <c r="L46" s="144" t="s">
        <v>188</v>
      </c>
      <c r="M46" s="144">
        <f t="shared" si="1"/>
        <v>1</v>
      </c>
      <c r="N46" s="144"/>
      <c r="O46" s="146"/>
      <c r="P46" s="144" t="s">
        <v>366</v>
      </c>
      <c r="Q46" s="144" t="s">
        <v>188</v>
      </c>
      <c r="R46" s="144">
        <f t="shared" si="2"/>
        <v>0</v>
      </c>
      <c r="S46" s="146"/>
      <c r="T46" s="146"/>
      <c r="U46" s="146"/>
      <c r="V46" s="146"/>
      <c r="W46" s="146"/>
      <c r="X46" s="144" t="s">
        <v>366</v>
      </c>
      <c r="Y46" s="144" t="s">
        <v>188</v>
      </c>
      <c r="Z46" s="144">
        <f t="shared" si="3"/>
        <v>0</v>
      </c>
      <c r="AA46" s="146"/>
      <c r="AB46" s="146"/>
      <c r="AC46" s="144" t="s">
        <v>366</v>
      </c>
      <c r="AD46" s="144" t="s">
        <v>188</v>
      </c>
      <c r="AE46" s="144">
        <f t="shared" si="4"/>
        <v>0</v>
      </c>
    </row>
    <row r="47" spans="1:31">
      <c r="F47" s="144" t="s">
        <v>367</v>
      </c>
      <c r="G47" s="144" t="s">
        <v>368</v>
      </c>
      <c r="H47" s="144">
        <f t="shared" si="0"/>
        <v>0</v>
      </c>
      <c r="I47" s="144"/>
      <c r="K47" s="144" t="s">
        <v>367</v>
      </c>
      <c r="L47" s="144" t="s">
        <v>368</v>
      </c>
      <c r="M47" s="144">
        <f t="shared" si="1"/>
        <v>0</v>
      </c>
      <c r="N47" s="144"/>
      <c r="O47" s="146"/>
      <c r="P47" s="144" t="s">
        <v>367</v>
      </c>
      <c r="Q47" s="144" t="s">
        <v>368</v>
      </c>
      <c r="R47" s="144">
        <f t="shared" si="2"/>
        <v>0</v>
      </c>
      <c r="S47" s="146"/>
      <c r="T47" s="146"/>
      <c r="U47" s="146"/>
      <c r="V47" s="146"/>
      <c r="W47" s="146"/>
      <c r="X47" s="144" t="s">
        <v>367</v>
      </c>
      <c r="Y47" s="144" t="s">
        <v>368</v>
      </c>
      <c r="Z47" s="144">
        <f t="shared" si="3"/>
        <v>0</v>
      </c>
      <c r="AA47" s="146"/>
      <c r="AB47" s="146"/>
      <c r="AC47" s="144" t="s">
        <v>367</v>
      </c>
      <c r="AD47" s="144" t="s">
        <v>368</v>
      </c>
      <c r="AE47" s="144">
        <f t="shared" si="4"/>
        <v>0</v>
      </c>
    </row>
    <row r="48" spans="1:31">
      <c r="F48" s="144" t="s">
        <v>369</v>
      </c>
      <c r="G48" s="144" t="s">
        <v>268</v>
      </c>
      <c r="H48" s="144">
        <f t="shared" si="0"/>
        <v>3</v>
      </c>
      <c r="I48" s="144"/>
      <c r="J48" s="145"/>
      <c r="K48" s="144" t="s">
        <v>369</v>
      </c>
      <c r="L48" s="144" t="s">
        <v>268</v>
      </c>
      <c r="M48" s="144">
        <f t="shared" si="1"/>
        <v>3</v>
      </c>
      <c r="N48" s="144"/>
      <c r="O48" s="146"/>
      <c r="P48" s="144" t="s">
        <v>369</v>
      </c>
      <c r="Q48" s="144" t="s">
        <v>268</v>
      </c>
      <c r="R48" s="144">
        <f t="shared" si="2"/>
        <v>0</v>
      </c>
      <c r="S48" s="146"/>
      <c r="T48" s="146"/>
      <c r="U48" s="146"/>
      <c r="V48" s="146"/>
      <c r="W48" s="146"/>
      <c r="X48" s="144" t="s">
        <v>369</v>
      </c>
      <c r="Y48" s="144" t="s">
        <v>268</v>
      </c>
      <c r="Z48" s="144">
        <f t="shared" si="3"/>
        <v>1</v>
      </c>
      <c r="AA48" s="146"/>
      <c r="AB48" s="146"/>
      <c r="AC48" s="144" t="s">
        <v>369</v>
      </c>
      <c r="AD48" s="144" t="s">
        <v>268</v>
      </c>
      <c r="AE48" s="144">
        <f t="shared" si="4"/>
        <v>1</v>
      </c>
    </row>
    <row r="49" spans="6:31">
      <c r="F49" s="144" t="s">
        <v>369</v>
      </c>
      <c r="G49" s="144" t="s">
        <v>370</v>
      </c>
      <c r="H49" s="144">
        <f t="shared" si="0"/>
        <v>0</v>
      </c>
      <c r="I49" s="144"/>
      <c r="K49" s="144" t="s">
        <v>369</v>
      </c>
      <c r="L49" s="144" t="s">
        <v>370</v>
      </c>
      <c r="M49" s="144">
        <f t="shared" si="1"/>
        <v>0</v>
      </c>
      <c r="N49" s="144"/>
      <c r="O49" s="146"/>
      <c r="P49" s="144" t="s">
        <v>369</v>
      </c>
      <c r="Q49" s="144" t="s">
        <v>370</v>
      </c>
      <c r="R49" s="144">
        <f t="shared" si="2"/>
        <v>0</v>
      </c>
      <c r="S49" s="146"/>
      <c r="T49" s="146"/>
      <c r="U49" s="146"/>
      <c r="V49" s="146"/>
      <c r="W49" s="146"/>
      <c r="X49" s="144" t="s">
        <v>369</v>
      </c>
      <c r="Y49" s="144" t="s">
        <v>370</v>
      </c>
      <c r="Z49" s="144">
        <f t="shared" si="3"/>
        <v>0</v>
      </c>
      <c r="AA49" s="146"/>
      <c r="AB49" s="146"/>
      <c r="AC49" s="144" t="s">
        <v>369</v>
      </c>
      <c r="AD49" s="144" t="s">
        <v>370</v>
      </c>
      <c r="AE49" s="144">
        <f t="shared" si="4"/>
        <v>0</v>
      </c>
    </row>
    <row r="50" spans="6:31">
      <c r="F50" s="144" t="s">
        <v>371</v>
      </c>
      <c r="G50" s="144" t="s">
        <v>372</v>
      </c>
      <c r="H50" s="144">
        <f t="shared" si="0"/>
        <v>0</v>
      </c>
      <c r="I50" s="144"/>
      <c r="J50" s="145"/>
      <c r="K50" s="144" t="s">
        <v>371</v>
      </c>
      <c r="L50" s="144" t="s">
        <v>372</v>
      </c>
      <c r="M50" s="144">
        <f t="shared" si="1"/>
        <v>0</v>
      </c>
      <c r="N50" s="144"/>
      <c r="O50" s="146"/>
      <c r="P50" s="144" t="s">
        <v>371</v>
      </c>
      <c r="Q50" s="144" t="s">
        <v>372</v>
      </c>
      <c r="R50" s="144">
        <f t="shared" si="2"/>
        <v>0</v>
      </c>
      <c r="S50" s="146"/>
      <c r="T50" s="146"/>
      <c r="U50" s="146"/>
      <c r="V50" s="146"/>
      <c r="W50" s="146"/>
      <c r="X50" s="144" t="s">
        <v>371</v>
      </c>
      <c r="Y50" s="144" t="s">
        <v>372</v>
      </c>
      <c r="Z50" s="144">
        <f t="shared" si="3"/>
        <v>0</v>
      </c>
      <c r="AA50" s="146"/>
      <c r="AB50" s="146"/>
      <c r="AC50" s="144" t="s">
        <v>371</v>
      </c>
      <c r="AD50" s="144" t="s">
        <v>372</v>
      </c>
      <c r="AE50" s="144">
        <f t="shared" si="4"/>
        <v>0</v>
      </c>
    </row>
    <row r="51" spans="6:31">
      <c r="F51" s="144" t="s">
        <v>371</v>
      </c>
      <c r="G51" s="144" t="s">
        <v>373</v>
      </c>
      <c r="H51" s="144">
        <f t="shared" si="0"/>
        <v>1</v>
      </c>
      <c r="I51" s="144"/>
      <c r="J51" s="145"/>
      <c r="K51" s="144" t="s">
        <v>371</v>
      </c>
      <c r="L51" s="144" t="s">
        <v>373</v>
      </c>
      <c r="M51" s="144">
        <f t="shared" si="1"/>
        <v>1</v>
      </c>
      <c r="N51" s="144"/>
      <c r="O51" s="146"/>
      <c r="P51" s="144" t="s">
        <v>371</v>
      </c>
      <c r="Q51" s="144" t="s">
        <v>373</v>
      </c>
      <c r="R51" s="144">
        <f t="shared" si="2"/>
        <v>0</v>
      </c>
      <c r="S51" s="146"/>
      <c r="T51" s="146"/>
      <c r="U51" s="146"/>
      <c r="V51" s="146"/>
      <c r="W51" s="146"/>
      <c r="X51" s="144" t="s">
        <v>371</v>
      </c>
      <c r="Y51" s="144" t="s">
        <v>373</v>
      </c>
      <c r="Z51" s="144">
        <f t="shared" si="3"/>
        <v>1</v>
      </c>
      <c r="AA51" s="146"/>
      <c r="AB51" s="146"/>
      <c r="AC51" s="144" t="s">
        <v>371</v>
      </c>
      <c r="AD51" s="144" t="s">
        <v>373</v>
      </c>
      <c r="AE51" s="144">
        <f t="shared" si="4"/>
        <v>1</v>
      </c>
    </row>
    <row r="52" spans="6:31">
      <c r="F52" s="144" t="s">
        <v>371</v>
      </c>
      <c r="G52" s="144" t="s">
        <v>105</v>
      </c>
      <c r="H52" s="144">
        <f t="shared" si="0"/>
        <v>0</v>
      </c>
      <c r="I52" s="144"/>
      <c r="J52" s="145"/>
      <c r="K52" s="144" t="s">
        <v>371</v>
      </c>
      <c r="L52" s="144" t="s">
        <v>105</v>
      </c>
      <c r="M52" s="144">
        <f t="shared" si="1"/>
        <v>0</v>
      </c>
      <c r="N52" s="144"/>
      <c r="O52" s="146"/>
      <c r="P52" s="144" t="s">
        <v>371</v>
      </c>
      <c r="Q52" s="144" t="s">
        <v>105</v>
      </c>
      <c r="R52" s="144">
        <f t="shared" si="2"/>
        <v>0</v>
      </c>
      <c r="S52" s="146"/>
      <c r="T52" s="146"/>
      <c r="U52" s="146"/>
      <c r="V52" s="146"/>
      <c r="W52" s="146"/>
      <c r="X52" s="144" t="s">
        <v>371</v>
      </c>
      <c r="Y52" s="144" t="s">
        <v>105</v>
      </c>
      <c r="Z52" s="144">
        <f t="shared" si="3"/>
        <v>0</v>
      </c>
      <c r="AA52" s="146"/>
      <c r="AB52" s="146"/>
      <c r="AC52" s="144" t="s">
        <v>371</v>
      </c>
      <c r="AD52" s="144" t="s">
        <v>105</v>
      </c>
      <c r="AE52" s="144">
        <f t="shared" si="4"/>
        <v>0</v>
      </c>
    </row>
    <row r="53" spans="6:31">
      <c r="F53" s="144" t="s">
        <v>371</v>
      </c>
      <c r="G53" s="144" t="s">
        <v>374</v>
      </c>
      <c r="H53" s="144">
        <f t="shared" si="0"/>
        <v>1</v>
      </c>
      <c r="I53" s="144"/>
      <c r="J53" s="145"/>
      <c r="K53" s="144" t="s">
        <v>371</v>
      </c>
      <c r="L53" s="144" t="s">
        <v>374</v>
      </c>
      <c r="M53" s="144">
        <f t="shared" si="1"/>
        <v>1</v>
      </c>
      <c r="N53" s="144"/>
      <c r="O53" s="146"/>
      <c r="P53" s="144" t="s">
        <v>371</v>
      </c>
      <c r="Q53" s="144" t="s">
        <v>374</v>
      </c>
      <c r="R53" s="144">
        <f t="shared" si="2"/>
        <v>0</v>
      </c>
      <c r="S53" s="146"/>
      <c r="T53" s="146"/>
      <c r="U53" s="146"/>
      <c r="V53" s="146"/>
      <c r="W53" s="146"/>
      <c r="X53" s="144" t="s">
        <v>371</v>
      </c>
      <c r="Y53" s="144" t="s">
        <v>374</v>
      </c>
      <c r="Z53" s="144">
        <f t="shared" si="3"/>
        <v>1</v>
      </c>
      <c r="AA53" s="146"/>
      <c r="AB53" s="146"/>
      <c r="AC53" s="144" t="s">
        <v>371</v>
      </c>
      <c r="AD53" s="144" t="s">
        <v>374</v>
      </c>
      <c r="AE53" s="144">
        <f t="shared" si="4"/>
        <v>1</v>
      </c>
    </row>
    <row r="54" spans="6:31">
      <c r="F54" s="144" t="s">
        <v>371</v>
      </c>
      <c r="G54" s="144" t="s">
        <v>100</v>
      </c>
      <c r="H54" s="144">
        <f t="shared" si="0"/>
        <v>1</v>
      </c>
      <c r="I54" s="144"/>
      <c r="J54" s="145"/>
      <c r="K54" s="144" t="s">
        <v>371</v>
      </c>
      <c r="L54" s="144" t="s">
        <v>100</v>
      </c>
      <c r="M54" s="144">
        <f t="shared" si="1"/>
        <v>1</v>
      </c>
      <c r="P54" s="144" t="s">
        <v>371</v>
      </c>
      <c r="Q54" s="144" t="s">
        <v>100</v>
      </c>
      <c r="R54" s="144">
        <f t="shared" si="2"/>
        <v>0</v>
      </c>
      <c r="X54" s="144" t="s">
        <v>371</v>
      </c>
      <c r="Y54" s="144" t="s">
        <v>100</v>
      </c>
      <c r="Z54" s="144">
        <f t="shared" si="3"/>
        <v>1</v>
      </c>
      <c r="AC54" s="144" t="s">
        <v>371</v>
      </c>
      <c r="AD54" s="144" t="s">
        <v>100</v>
      </c>
      <c r="AE54" s="144">
        <f t="shared" si="4"/>
        <v>1</v>
      </c>
    </row>
    <row r="55" spans="6:31">
      <c r="F55" s="144" t="s">
        <v>371</v>
      </c>
      <c r="G55" s="144" t="s">
        <v>375</v>
      </c>
      <c r="H55" s="144">
        <f t="shared" si="0"/>
        <v>0</v>
      </c>
      <c r="I55" s="144"/>
      <c r="J55" s="144"/>
      <c r="K55" s="144" t="s">
        <v>371</v>
      </c>
      <c r="L55" s="144" t="s">
        <v>375</v>
      </c>
      <c r="M55" s="144">
        <f t="shared" si="1"/>
        <v>0</v>
      </c>
      <c r="P55" s="144" t="s">
        <v>371</v>
      </c>
      <c r="Q55" s="144" t="s">
        <v>375</v>
      </c>
      <c r="R55" s="144">
        <f t="shared" si="2"/>
        <v>0</v>
      </c>
      <c r="X55" s="144" t="s">
        <v>371</v>
      </c>
      <c r="Y55" s="144" t="s">
        <v>375</v>
      </c>
      <c r="Z55" s="144">
        <f t="shared" si="3"/>
        <v>0</v>
      </c>
      <c r="AC55" s="144" t="s">
        <v>371</v>
      </c>
      <c r="AD55" s="144" t="s">
        <v>375</v>
      </c>
      <c r="AE55" s="144">
        <f t="shared" si="4"/>
        <v>0</v>
      </c>
    </row>
    <row r="56" spans="6:31">
      <c r="F56" s="144" t="s">
        <v>371</v>
      </c>
      <c r="G56" s="144" t="s">
        <v>110</v>
      </c>
      <c r="H56" s="144">
        <f t="shared" si="0"/>
        <v>1</v>
      </c>
      <c r="I56" s="144"/>
      <c r="K56" s="144" t="s">
        <v>371</v>
      </c>
      <c r="L56" s="144" t="s">
        <v>110</v>
      </c>
      <c r="M56" s="144">
        <f t="shared" si="1"/>
        <v>1</v>
      </c>
      <c r="P56" s="144" t="s">
        <v>371</v>
      </c>
      <c r="Q56" s="144" t="s">
        <v>110</v>
      </c>
      <c r="R56" s="144">
        <f t="shared" si="2"/>
        <v>0</v>
      </c>
      <c r="X56" s="144" t="s">
        <v>371</v>
      </c>
      <c r="Y56" s="144" t="s">
        <v>110</v>
      </c>
      <c r="Z56" s="144">
        <f t="shared" si="3"/>
        <v>1</v>
      </c>
      <c r="AC56" s="144" t="s">
        <v>371</v>
      </c>
      <c r="AD56" s="144" t="s">
        <v>110</v>
      </c>
      <c r="AE56" s="144">
        <f t="shared" si="4"/>
        <v>1</v>
      </c>
    </row>
    <row r="57" spans="6:31">
      <c r="F57" s="144" t="s">
        <v>376</v>
      </c>
      <c r="G57" s="144" t="s">
        <v>220</v>
      </c>
      <c r="H57" s="144">
        <f t="shared" si="0"/>
        <v>1</v>
      </c>
      <c r="I57" s="144"/>
      <c r="K57" s="144" t="s">
        <v>376</v>
      </c>
      <c r="L57" s="144" t="s">
        <v>220</v>
      </c>
      <c r="M57" s="144">
        <f t="shared" si="1"/>
        <v>1</v>
      </c>
      <c r="P57" s="144" t="s">
        <v>376</v>
      </c>
      <c r="Q57" s="144" t="s">
        <v>220</v>
      </c>
      <c r="R57" s="144">
        <f t="shared" si="2"/>
        <v>0</v>
      </c>
      <c r="X57" s="144" t="s">
        <v>376</v>
      </c>
      <c r="Y57" s="144" t="s">
        <v>220</v>
      </c>
      <c r="Z57" s="144">
        <f t="shared" si="3"/>
        <v>1</v>
      </c>
      <c r="AC57" s="144" t="s">
        <v>376</v>
      </c>
      <c r="AD57" s="144" t="s">
        <v>220</v>
      </c>
      <c r="AE57" s="144">
        <f t="shared" si="4"/>
        <v>1</v>
      </c>
    </row>
    <row r="58" spans="6:31">
      <c r="F58" s="144" t="s">
        <v>376</v>
      </c>
      <c r="G58" s="144" t="s">
        <v>217</v>
      </c>
      <c r="H58" s="144">
        <f t="shared" si="0"/>
        <v>1</v>
      </c>
      <c r="I58" s="144"/>
      <c r="K58" s="144" t="s">
        <v>376</v>
      </c>
      <c r="L58" s="144" t="s">
        <v>217</v>
      </c>
      <c r="M58" s="144">
        <f t="shared" si="1"/>
        <v>1</v>
      </c>
      <c r="P58" s="144" t="s">
        <v>376</v>
      </c>
      <c r="Q58" s="144" t="s">
        <v>217</v>
      </c>
      <c r="R58" s="144">
        <f t="shared" si="2"/>
        <v>0</v>
      </c>
      <c r="X58" s="144" t="s">
        <v>376</v>
      </c>
      <c r="Y58" s="144" t="s">
        <v>217</v>
      </c>
      <c r="Z58" s="144">
        <f t="shared" si="3"/>
        <v>1</v>
      </c>
      <c r="AC58" s="144" t="s">
        <v>376</v>
      </c>
      <c r="AD58" s="144" t="s">
        <v>217</v>
      </c>
      <c r="AE58" s="144">
        <f t="shared" si="4"/>
        <v>1</v>
      </c>
    </row>
    <row r="59" spans="6:31">
      <c r="F59" s="144" t="s">
        <v>376</v>
      </c>
      <c r="G59" s="144" t="s">
        <v>218</v>
      </c>
      <c r="H59" s="144">
        <f t="shared" si="0"/>
        <v>0</v>
      </c>
      <c r="I59" s="144"/>
      <c r="K59" s="144" t="s">
        <v>376</v>
      </c>
      <c r="L59" s="144" t="s">
        <v>218</v>
      </c>
      <c r="M59" s="144">
        <f t="shared" si="1"/>
        <v>0</v>
      </c>
      <c r="P59" s="144" t="s">
        <v>376</v>
      </c>
      <c r="Q59" s="144" t="s">
        <v>218</v>
      </c>
      <c r="R59" s="144">
        <f t="shared" si="2"/>
        <v>0</v>
      </c>
      <c r="X59" s="144" t="s">
        <v>376</v>
      </c>
      <c r="Y59" s="144" t="s">
        <v>218</v>
      </c>
      <c r="Z59" s="144">
        <f t="shared" si="3"/>
        <v>1</v>
      </c>
      <c r="AC59" s="144" t="s">
        <v>376</v>
      </c>
      <c r="AD59" s="144" t="s">
        <v>218</v>
      </c>
      <c r="AE59" s="144">
        <f t="shared" si="4"/>
        <v>0</v>
      </c>
    </row>
    <row r="60" spans="6:31">
      <c r="F60" s="144" t="s">
        <v>376</v>
      </c>
      <c r="G60" s="144" t="s">
        <v>159</v>
      </c>
      <c r="H60" s="144">
        <f t="shared" si="0"/>
        <v>0</v>
      </c>
      <c r="I60" s="144"/>
      <c r="K60" s="144" t="s">
        <v>376</v>
      </c>
      <c r="L60" s="144" t="s">
        <v>159</v>
      </c>
      <c r="M60" s="144">
        <f t="shared" si="1"/>
        <v>0</v>
      </c>
      <c r="P60" s="144" t="s">
        <v>376</v>
      </c>
      <c r="Q60" s="144" t="s">
        <v>159</v>
      </c>
      <c r="R60" s="144">
        <f t="shared" si="2"/>
        <v>0</v>
      </c>
      <c r="X60" s="144" t="s">
        <v>376</v>
      </c>
      <c r="Y60" s="144" t="s">
        <v>159</v>
      </c>
      <c r="Z60" s="144">
        <f t="shared" si="3"/>
        <v>1</v>
      </c>
      <c r="AC60" s="144" t="s">
        <v>376</v>
      </c>
      <c r="AD60" s="144" t="s">
        <v>159</v>
      </c>
      <c r="AE60" s="144">
        <f t="shared" si="4"/>
        <v>1</v>
      </c>
    </row>
    <row r="61" spans="6:31">
      <c r="F61" s="144" t="s">
        <v>376</v>
      </c>
      <c r="G61" s="144" t="s">
        <v>219</v>
      </c>
      <c r="H61" s="144">
        <f t="shared" si="0"/>
        <v>0</v>
      </c>
      <c r="I61" s="144"/>
      <c r="K61" s="144" t="s">
        <v>376</v>
      </c>
      <c r="L61" s="144" t="s">
        <v>219</v>
      </c>
      <c r="M61" s="144">
        <f t="shared" si="1"/>
        <v>0</v>
      </c>
      <c r="P61" s="144" t="s">
        <v>376</v>
      </c>
      <c r="Q61" s="144" t="s">
        <v>219</v>
      </c>
      <c r="R61" s="144">
        <f t="shared" si="2"/>
        <v>0</v>
      </c>
      <c r="X61" s="144" t="s">
        <v>376</v>
      </c>
      <c r="Y61" s="144" t="s">
        <v>219</v>
      </c>
      <c r="Z61" s="144">
        <f t="shared" si="3"/>
        <v>1</v>
      </c>
      <c r="AC61" s="144" t="s">
        <v>376</v>
      </c>
      <c r="AD61" s="144" t="s">
        <v>219</v>
      </c>
      <c r="AE61" s="144">
        <f t="shared" si="4"/>
        <v>0</v>
      </c>
    </row>
    <row r="62" spans="6:31">
      <c r="F62" s="144" t="s">
        <v>376</v>
      </c>
      <c r="G62" s="144"/>
      <c r="H62" s="144">
        <f t="shared" si="0"/>
        <v>0</v>
      </c>
      <c r="I62" s="144"/>
      <c r="K62" s="144" t="s">
        <v>376</v>
      </c>
      <c r="L62" s="144"/>
      <c r="M62" s="144">
        <f t="shared" si="1"/>
        <v>0</v>
      </c>
      <c r="P62" s="144" t="s">
        <v>376</v>
      </c>
      <c r="Q62" s="144"/>
      <c r="R62" s="144">
        <f t="shared" si="2"/>
        <v>0</v>
      </c>
      <c r="X62" s="144" t="s">
        <v>376</v>
      </c>
      <c r="Y62" s="144"/>
      <c r="Z62" s="144">
        <f t="shared" si="3"/>
        <v>0</v>
      </c>
      <c r="AC62" s="144" t="s">
        <v>376</v>
      </c>
      <c r="AD62" s="144"/>
      <c r="AE62" s="144">
        <f t="shared" si="4"/>
        <v>0</v>
      </c>
    </row>
    <row r="63" spans="6:31">
      <c r="I63" s="144"/>
    </row>
    <row r="64" spans="6:31">
      <c r="I64" s="144"/>
    </row>
    <row r="65" spans="9:9">
      <c r="I65" s="144"/>
    </row>
  </sheetData>
  <phoneticPr fontId="2" type="noConversion"/>
  <conditionalFormatting sqref="F65:F97">
    <cfRule type="duplicateValues" dxfId="12" priority="5"/>
  </conditionalFormatting>
  <conditionalFormatting sqref="K65:K97">
    <cfRule type="duplicateValues" dxfId="11" priority="4"/>
  </conditionalFormatting>
  <conditionalFormatting sqref="P65:P97">
    <cfRule type="duplicateValues" dxfId="10" priority="3"/>
  </conditionalFormatting>
  <conditionalFormatting sqref="W65:W97">
    <cfRule type="duplicateValues" dxfId="9" priority="2"/>
  </conditionalFormatting>
  <conditionalFormatting sqref="AB65:AB97">
    <cfRule type="duplicateValues" dxfId="8" priority="1"/>
  </conditionalFormatting>
  <pageMargins left="0.23622047244094491" right="0.23622047244094491" top="0.74803149606299213" bottom="0.74803149606299213" header="0.31496062992125984" footer="0.31496062992125984"/>
  <pageSetup paperSize="8" scale="57" fitToHeight="0" orientation="landscape" r:id="rId1"/>
  <headerFooter>
    <oddHeader>&amp;LMonday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DC1B8-4077-43A8-8FAD-E4D4714207EE}">
  <sheetPr>
    <tabColor theme="9" tint="0.59999389629810485"/>
    <pageSetUpPr fitToPage="1"/>
  </sheetPr>
  <dimension ref="A1:AF98"/>
  <sheetViews>
    <sheetView zoomScale="85" zoomScaleNormal="85" workbookViewId="0">
      <pane xSplit="3" ySplit="2" topLeftCell="S19" activePane="bottomRight" state="frozen"/>
      <selection activeCell="H26" sqref="H26"/>
      <selection pane="topRight" activeCell="H26" sqref="H26"/>
      <selection pane="bottomLeft" activeCell="H26" sqref="H26"/>
      <selection pane="bottomRight" activeCell="Y25" sqref="Y25"/>
    </sheetView>
  </sheetViews>
  <sheetFormatPr defaultRowHeight="16.5"/>
  <cols>
    <col min="4" max="4" width="13.125" bestFit="1" customWidth="1"/>
    <col min="5" max="5" width="11.625" bestFit="1" customWidth="1"/>
    <col min="8" max="8" width="15" style="147" bestFit="1" customWidth="1"/>
    <col min="9" max="9" width="15.25" style="147" bestFit="1" customWidth="1"/>
    <col min="10" max="10" width="11.625" bestFit="1" customWidth="1"/>
    <col min="13" max="13" width="15" style="147" bestFit="1" customWidth="1"/>
    <col min="14" max="14" width="15.25" bestFit="1" customWidth="1"/>
    <col min="15" max="15" width="11.25" bestFit="1" customWidth="1"/>
    <col min="18" max="18" width="11.375" bestFit="1" customWidth="1"/>
    <col min="19" max="19" width="11.75" bestFit="1" customWidth="1"/>
    <col min="20" max="20" width="4.125" customWidth="1"/>
    <col min="21" max="21" width="7.75" customWidth="1"/>
    <col min="22" max="22" width="11.625" bestFit="1" customWidth="1"/>
    <col min="25" max="25" width="15" style="147" bestFit="1" customWidth="1"/>
    <col min="26" max="26" width="15.25" bestFit="1" customWidth="1"/>
    <col min="27" max="27" width="11.625" bestFit="1" customWidth="1"/>
    <col min="30" max="30" width="16.25" bestFit="1" customWidth="1"/>
    <col min="31" max="31" width="15.25" bestFit="1" customWidth="1"/>
  </cols>
  <sheetData>
    <row r="1" spans="1:31">
      <c r="A1" s="35" t="s">
        <v>306</v>
      </c>
      <c r="B1" s="36"/>
      <c r="C1" s="37"/>
      <c r="D1" s="38"/>
      <c r="E1" s="148" t="s">
        <v>307</v>
      </c>
      <c r="F1" s="36"/>
      <c r="G1" s="36"/>
      <c r="H1" s="40"/>
      <c r="I1" s="41"/>
      <c r="J1" s="39" t="s">
        <v>308</v>
      </c>
      <c r="K1" s="36"/>
      <c r="L1" s="36"/>
      <c r="M1" s="40"/>
      <c r="N1" s="41"/>
      <c r="O1" s="39" t="s">
        <v>309</v>
      </c>
      <c r="P1" s="36"/>
      <c r="Q1" s="36"/>
      <c r="R1" s="36"/>
      <c r="S1" s="41"/>
      <c r="T1" s="149"/>
      <c r="U1" s="150"/>
      <c r="V1" s="39">
        <v>1400</v>
      </c>
      <c r="W1" s="36"/>
      <c r="X1" s="36"/>
      <c r="Y1" s="40"/>
      <c r="Z1" s="41"/>
      <c r="AA1" s="148">
        <v>1600</v>
      </c>
      <c r="AB1" s="36"/>
      <c r="AC1" s="36"/>
      <c r="AD1" s="151"/>
      <c r="AE1" s="41"/>
    </row>
    <row r="2" spans="1:31">
      <c r="A2" s="48" t="s">
        <v>312</v>
      </c>
      <c r="B2" s="49" t="s">
        <v>313</v>
      </c>
      <c r="C2" s="50" t="s">
        <v>314</v>
      </c>
      <c r="D2" s="51"/>
      <c r="E2" s="152" t="s">
        <v>315</v>
      </c>
      <c r="F2" s="49" t="s">
        <v>316</v>
      </c>
      <c r="G2" s="49" t="s">
        <v>317</v>
      </c>
      <c r="H2" s="52" t="s">
        <v>318</v>
      </c>
      <c r="I2" s="53" t="s">
        <v>283</v>
      </c>
      <c r="J2" s="48" t="s">
        <v>315</v>
      </c>
      <c r="K2" s="49" t="s">
        <v>316</v>
      </c>
      <c r="L2" s="49" t="s">
        <v>317</v>
      </c>
      <c r="M2" s="52" t="s">
        <v>318</v>
      </c>
      <c r="N2" s="53" t="s">
        <v>283</v>
      </c>
      <c r="O2" s="48" t="s">
        <v>315</v>
      </c>
      <c r="P2" s="49" t="s">
        <v>316</v>
      </c>
      <c r="Q2" s="49" t="s">
        <v>317</v>
      </c>
      <c r="R2" s="49" t="s">
        <v>318</v>
      </c>
      <c r="S2" s="53" t="s">
        <v>283</v>
      </c>
      <c r="T2" s="153"/>
      <c r="U2" s="154"/>
      <c r="V2" s="48" t="s">
        <v>315</v>
      </c>
      <c r="W2" s="49" t="s">
        <v>316</v>
      </c>
      <c r="X2" s="49" t="s">
        <v>317</v>
      </c>
      <c r="Y2" s="52" t="s">
        <v>318</v>
      </c>
      <c r="Z2" s="53" t="s">
        <v>283</v>
      </c>
      <c r="AA2" s="152" t="s">
        <v>315</v>
      </c>
      <c r="AB2" s="49" t="s">
        <v>316</v>
      </c>
      <c r="AC2" s="49" t="s">
        <v>317</v>
      </c>
      <c r="AD2" s="155" t="s">
        <v>318</v>
      </c>
      <c r="AE2" s="53" t="s">
        <v>283</v>
      </c>
    </row>
    <row r="3" spans="1:31">
      <c r="A3" s="57" t="s">
        <v>0</v>
      </c>
      <c r="B3" s="1">
        <v>44</v>
      </c>
      <c r="C3" s="6">
        <v>48</v>
      </c>
      <c r="D3" s="58"/>
      <c r="E3" s="156" t="s">
        <v>377</v>
      </c>
      <c r="F3" s="1">
        <v>46</v>
      </c>
      <c r="G3" s="1" t="s">
        <v>225</v>
      </c>
      <c r="H3" s="60" t="s">
        <v>64</v>
      </c>
      <c r="I3" s="69"/>
      <c r="J3" s="156" t="s">
        <v>377</v>
      </c>
      <c r="K3" s="1">
        <v>46</v>
      </c>
      <c r="L3" s="1" t="s">
        <v>225</v>
      </c>
      <c r="M3" s="60" t="s">
        <v>64</v>
      </c>
      <c r="N3" s="69"/>
      <c r="O3" s="59"/>
      <c r="P3" s="1">
        <v>0</v>
      </c>
      <c r="Q3" s="1">
        <v>0</v>
      </c>
      <c r="R3" s="1">
        <v>0</v>
      </c>
      <c r="S3" s="69"/>
      <c r="T3" s="157"/>
      <c r="U3" s="69"/>
      <c r="V3" s="109" t="s">
        <v>378</v>
      </c>
      <c r="W3" s="110">
        <v>45</v>
      </c>
      <c r="X3" s="110" t="s">
        <v>163</v>
      </c>
      <c r="Y3" s="111" t="s">
        <v>219</v>
      </c>
      <c r="Z3" s="108"/>
      <c r="AA3" s="109" t="s">
        <v>378</v>
      </c>
      <c r="AB3" s="110">
        <v>45</v>
      </c>
      <c r="AC3" s="110" t="s">
        <v>163</v>
      </c>
      <c r="AD3" s="158" t="s">
        <v>219</v>
      </c>
      <c r="AE3" s="108"/>
    </row>
    <row r="4" spans="1:31">
      <c r="A4" s="57" t="s">
        <v>2</v>
      </c>
      <c r="B4" s="1">
        <v>42</v>
      </c>
      <c r="C4" s="6">
        <v>48</v>
      </c>
      <c r="D4" s="85"/>
      <c r="E4" s="156"/>
      <c r="F4" s="67">
        <v>0</v>
      </c>
      <c r="G4" s="67">
        <v>0</v>
      </c>
      <c r="H4" s="71">
        <v>0</v>
      </c>
      <c r="I4" s="83"/>
      <c r="J4" s="156" t="s">
        <v>379</v>
      </c>
      <c r="K4" s="67">
        <v>35</v>
      </c>
      <c r="L4" s="67" t="s">
        <v>216</v>
      </c>
      <c r="M4" s="71" t="s">
        <v>219</v>
      </c>
      <c r="N4" s="83" t="s">
        <v>380</v>
      </c>
      <c r="O4" s="66"/>
      <c r="P4" s="67">
        <v>0</v>
      </c>
      <c r="Q4" s="67">
        <v>0</v>
      </c>
      <c r="R4" s="67">
        <v>0</v>
      </c>
      <c r="S4" s="83"/>
      <c r="T4" s="159"/>
      <c r="U4" s="160"/>
      <c r="V4" s="90" t="s">
        <v>381</v>
      </c>
      <c r="W4" s="91">
        <v>35</v>
      </c>
      <c r="X4" s="91" t="s">
        <v>163</v>
      </c>
      <c r="Y4" s="94" t="s">
        <v>266</v>
      </c>
      <c r="Z4" s="93" t="s">
        <v>382</v>
      </c>
      <c r="AA4" s="90" t="s">
        <v>381</v>
      </c>
      <c r="AB4" s="91">
        <v>35</v>
      </c>
      <c r="AC4" s="91" t="s">
        <v>163</v>
      </c>
      <c r="AD4" s="161" t="s">
        <v>266</v>
      </c>
      <c r="AE4" s="93" t="s">
        <v>383</v>
      </c>
    </row>
    <row r="5" spans="1:31">
      <c r="A5" s="57" t="s">
        <v>4</v>
      </c>
      <c r="B5" s="1">
        <v>44</v>
      </c>
      <c r="C5" s="6">
        <v>78</v>
      </c>
      <c r="D5" s="85"/>
      <c r="E5" s="162" t="s">
        <v>384</v>
      </c>
      <c r="F5" s="110">
        <v>51</v>
      </c>
      <c r="G5" s="110" t="s">
        <v>163</v>
      </c>
      <c r="H5" s="111" t="s">
        <v>62</v>
      </c>
      <c r="I5" s="108"/>
      <c r="J5" s="162" t="s">
        <v>384</v>
      </c>
      <c r="K5" s="110">
        <v>51</v>
      </c>
      <c r="L5" s="110" t="s">
        <v>163</v>
      </c>
      <c r="M5" s="111" t="s">
        <v>62</v>
      </c>
      <c r="N5" s="108"/>
      <c r="O5" s="156"/>
      <c r="P5" s="67">
        <v>0</v>
      </c>
      <c r="Q5" s="67">
        <v>0</v>
      </c>
      <c r="R5" s="67">
        <v>0</v>
      </c>
      <c r="S5" s="83"/>
      <c r="T5" s="159"/>
      <c r="U5" s="83"/>
      <c r="V5" s="66" t="s">
        <v>385</v>
      </c>
      <c r="W5" s="67">
        <v>51</v>
      </c>
      <c r="X5" s="67" t="s">
        <v>225</v>
      </c>
      <c r="Y5" s="71" t="s">
        <v>64</v>
      </c>
      <c r="Z5" s="83"/>
      <c r="AA5" s="66" t="s">
        <v>385</v>
      </c>
      <c r="AB5" s="67">
        <v>51</v>
      </c>
      <c r="AC5" s="67" t="s">
        <v>225</v>
      </c>
      <c r="AD5" s="163" t="s">
        <v>64</v>
      </c>
      <c r="AE5" s="83"/>
    </row>
    <row r="6" spans="1:31">
      <c r="A6" s="57" t="s">
        <v>6</v>
      </c>
      <c r="B6" s="1">
        <v>45</v>
      </c>
      <c r="C6" s="6">
        <v>53</v>
      </c>
      <c r="D6" s="85"/>
      <c r="E6" s="164" t="s">
        <v>386</v>
      </c>
      <c r="F6" s="67">
        <v>53</v>
      </c>
      <c r="G6" s="67" t="s">
        <v>247</v>
      </c>
      <c r="H6" s="71" t="s">
        <v>251</v>
      </c>
      <c r="I6" s="83"/>
      <c r="J6" s="164" t="s">
        <v>386</v>
      </c>
      <c r="K6" s="67">
        <v>53</v>
      </c>
      <c r="L6" s="67" t="s">
        <v>247</v>
      </c>
      <c r="M6" s="71" t="s">
        <v>251</v>
      </c>
      <c r="N6" s="83"/>
      <c r="O6" s="66"/>
      <c r="P6" s="67">
        <v>0</v>
      </c>
      <c r="Q6" s="67">
        <v>0</v>
      </c>
      <c r="R6" s="67">
        <v>0</v>
      </c>
      <c r="S6" s="83"/>
      <c r="T6" s="159"/>
      <c r="U6" s="160"/>
      <c r="V6" s="66" t="s">
        <v>387</v>
      </c>
      <c r="W6" s="67">
        <v>53</v>
      </c>
      <c r="X6" s="67" t="s">
        <v>225</v>
      </c>
      <c r="Y6" s="71" t="s">
        <v>59</v>
      </c>
      <c r="Z6" s="83"/>
      <c r="AA6" s="66" t="s">
        <v>387</v>
      </c>
      <c r="AB6" s="67">
        <v>53</v>
      </c>
      <c r="AC6" s="67" t="s">
        <v>225</v>
      </c>
      <c r="AD6" s="163" t="s">
        <v>59</v>
      </c>
      <c r="AE6" s="83"/>
    </row>
    <row r="7" spans="1:31">
      <c r="A7" s="57" t="s">
        <v>8</v>
      </c>
      <c r="B7" s="1">
        <v>27</v>
      </c>
      <c r="C7" s="6">
        <v>25</v>
      </c>
      <c r="D7" s="85"/>
      <c r="E7" s="156"/>
      <c r="F7" s="67">
        <v>0</v>
      </c>
      <c r="G7" s="67">
        <v>0</v>
      </c>
      <c r="H7" s="71">
        <v>0</v>
      </c>
      <c r="I7" s="83"/>
      <c r="J7" s="66"/>
      <c r="K7" s="67">
        <v>0</v>
      </c>
      <c r="L7" s="67">
        <v>0</v>
      </c>
      <c r="M7" s="71">
        <v>0</v>
      </c>
      <c r="N7" s="83"/>
      <c r="O7" s="66"/>
      <c r="P7" s="67">
        <v>0</v>
      </c>
      <c r="Q7" s="67">
        <v>0</v>
      </c>
      <c r="R7" s="67">
        <v>0</v>
      </c>
      <c r="S7" s="83"/>
      <c r="T7" s="159"/>
      <c r="U7" s="83"/>
      <c r="V7" s="66"/>
      <c r="W7" s="67">
        <v>0</v>
      </c>
      <c r="X7" s="67">
        <v>0</v>
      </c>
      <c r="Y7" s="71">
        <v>0</v>
      </c>
      <c r="Z7" s="83"/>
      <c r="AA7" s="156"/>
      <c r="AB7" s="67">
        <v>0</v>
      </c>
      <c r="AC7" s="67">
        <v>0</v>
      </c>
      <c r="AD7" s="163">
        <v>0</v>
      </c>
      <c r="AE7" s="83"/>
    </row>
    <row r="8" spans="1:31">
      <c r="A8" s="57" t="s">
        <v>10</v>
      </c>
      <c r="B8" s="1">
        <v>19</v>
      </c>
      <c r="C8" s="6">
        <v>25</v>
      </c>
      <c r="D8" s="85"/>
      <c r="E8" s="156"/>
      <c r="F8" s="67">
        <v>0</v>
      </c>
      <c r="G8" s="67">
        <v>0</v>
      </c>
      <c r="H8" s="71">
        <v>0</v>
      </c>
      <c r="I8" s="83"/>
      <c r="J8" s="66"/>
      <c r="K8" s="67">
        <v>0</v>
      </c>
      <c r="L8" s="67">
        <v>0</v>
      </c>
      <c r="M8" s="71">
        <v>0</v>
      </c>
      <c r="N8" s="83"/>
      <c r="O8" s="66"/>
      <c r="P8" s="67">
        <v>0</v>
      </c>
      <c r="Q8" s="67">
        <v>0</v>
      </c>
      <c r="R8" s="67">
        <v>0</v>
      </c>
      <c r="S8" s="83"/>
      <c r="T8" s="159"/>
      <c r="U8" s="83"/>
      <c r="V8" s="66"/>
      <c r="W8" s="67">
        <v>0</v>
      </c>
      <c r="X8" s="67">
        <v>0</v>
      </c>
      <c r="Y8" s="71">
        <v>0</v>
      </c>
      <c r="Z8" s="83"/>
      <c r="AA8" s="66"/>
      <c r="AB8" s="67">
        <v>0</v>
      </c>
      <c r="AC8" s="67">
        <v>0</v>
      </c>
      <c r="AD8" s="163">
        <v>0</v>
      </c>
      <c r="AE8" s="83"/>
    </row>
    <row r="9" spans="1:31">
      <c r="A9" s="57" t="s">
        <v>12</v>
      </c>
      <c r="B9" s="1">
        <v>33</v>
      </c>
      <c r="C9" s="6">
        <v>44</v>
      </c>
      <c r="D9" s="85"/>
      <c r="E9" s="156" t="s">
        <v>388</v>
      </c>
      <c r="F9" s="67">
        <v>42</v>
      </c>
      <c r="G9" s="67" t="s">
        <v>216</v>
      </c>
      <c r="H9" s="71" t="s">
        <v>220</v>
      </c>
      <c r="I9" s="83"/>
      <c r="J9" s="156" t="s">
        <v>389</v>
      </c>
      <c r="K9" s="67">
        <v>42</v>
      </c>
      <c r="L9" s="67" t="s">
        <v>216</v>
      </c>
      <c r="M9" s="71" t="s">
        <v>220</v>
      </c>
      <c r="N9" s="83"/>
      <c r="O9" s="66"/>
      <c r="P9" s="67">
        <v>0</v>
      </c>
      <c r="Q9" s="67">
        <v>0</v>
      </c>
      <c r="R9" s="67">
        <v>0</v>
      </c>
      <c r="S9" s="83"/>
      <c r="T9" s="159"/>
      <c r="U9" s="83"/>
      <c r="V9" s="90" t="s">
        <v>390</v>
      </c>
      <c r="W9" s="91">
        <v>40</v>
      </c>
      <c r="X9" s="91" t="s">
        <v>163</v>
      </c>
      <c r="Y9" s="94" t="s">
        <v>220</v>
      </c>
      <c r="Z9" s="93"/>
      <c r="AA9" s="90" t="s">
        <v>390</v>
      </c>
      <c r="AB9" s="91">
        <v>40</v>
      </c>
      <c r="AC9" s="91" t="s">
        <v>163</v>
      </c>
      <c r="AD9" s="161" t="s">
        <v>220</v>
      </c>
      <c r="AE9" s="93"/>
    </row>
    <row r="10" spans="1:31">
      <c r="A10" s="57" t="s">
        <v>14</v>
      </c>
      <c r="B10" s="1">
        <v>0</v>
      </c>
      <c r="C10" s="6"/>
      <c r="D10" s="85"/>
      <c r="E10" s="156"/>
      <c r="F10" s="67">
        <v>0</v>
      </c>
      <c r="G10" s="67">
        <v>0</v>
      </c>
      <c r="H10" s="71">
        <v>0</v>
      </c>
      <c r="I10" s="83"/>
      <c r="J10" s="66"/>
      <c r="K10" s="67">
        <v>0</v>
      </c>
      <c r="L10" s="67">
        <v>0</v>
      </c>
      <c r="M10" s="71">
        <v>0</v>
      </c>
      <c r="N10" s="83"/>
      <c r="O10" s="66"/>
      <c r="P10" s="67">
        <v>0</v>
      </c>
      <c r="Q10" s="67">
        <v>0</v>
      </c>
      <c r="R10" s="67">
        <v>0</v>
      </c>
      <c r="S10" s="83"/>
      <c r="T10" s="159"/>
      <c r="U10" s="83"/>
      <c r="V10" s="66"/>
      <c r="W10" s="67">
        <v>0</v>
      </c>
      <c r="X10" s="67">
        <v>0</v>
      </c>
      <c r="Y10" s="71">
        <v>0</v>
      </c>
      <c r="Z10" s="83"/>
      <c r="AA10" s="156"/>
      <c r="AB10" s="67">
        <v>0</v>
      </c>
      <c r="AC10" s="67">
        <v>0</v>
      </c>
      <c r="AD10" s="163">
        <v>0</v>
      </c>
      <c r="AE10" s="83"/>
    </row>
    <row r="11" spans="1:31">
      <c r="A11" s="57" t="s">
        <v>15</v>
      </c>
      <c r="B11" s="1">
        <v>37</v>
      </c>
      <c r="C11" s="6">
        <v>38</v>
      </c>
      <c r="D11" s="85"/>
      <c r="E11" s="156" t="s">
        <v>391</v>
      </c>
      <c r="F11" s="67">
        <v>38</v>
      </c>
      <c r="G11" s="67" t="s">
        <v>247</v>
      </c>
      <c r="H11" s="71" t="s">
        <v>252</v>
      </c>
      <c r="I11" s="83"/>
      <c r="J11" s="156" t="s">
        <v>391</v>
      </c>
      <c r="K11" s="67">
        <v>38</v>
      </c>
      <c r="L11" s="67" t="s">
        <v>247</v>
      </c>
      <c r="M11" s="71" t="s">
        <v>252</v>
      </c>
      <c r="N11" s="83"/>
      <c r="O11" s="66"/>
      <c r="P11" s="67">
        <v>0</v>
      </c>
      <c r="Q11" s="67">
        <v>0</v>
      </c>
      <c r="R11" s="67">
        <v>0</v>
      </c>
      <c r="S11" s="83"/>
      <c r="T11" s="159"/>
      <c r="U11" s="165"/>
      <c r="V11" s="66" t="s">
        <v>392</v>
      </c>
      <c r="W11" s="67">
        <v>38</v>
      </c>
      <c r="X11" s="67" t="s">
        <v>225</v>
      </c>
      <c r="Y11" s="71" t="s">
        <v>213</v>
      </c>
      <c r="Z11" s="83" t="s">
        <v>240</v>
      </c>
      <c r="AA11" s="66" t="s">
        <v>392</v>
      </c>
      <c r="AB11" s="67">
        <v>38</v>
      </c>
      <c r="AC11" s="67" t="s">
        <v>225</v>
      </c>
      <c r="AD11" s="163" t="s">
        <v>213</v>
      </c>
      <c r="AE11" s="83" t="s">
        <v>263</v>
      </c>
    </row>
    <row r="12" spans="1:31">
      <c r="A12" s="57" t="s">
        <v>17</v>
      </c>
      <c r="B12" s="1">
        <v>36</v>
      </c>
      <c r="C12" s="6">
        <v>38</v>
      </c>
      <c r="D12" s="166"/>
      <c r="E12" s="156"/>
      <c r="F12" s="67">
        <v>0</v>
      </c>
      <c r="G12" s="67">
        <v>0</v>
      </c>
      <c r="H12" s="71">
        <v>0</v>
      </c>
      <c r="I12" s="83"/>
      <c r="J12" s="156"/>
      <c r="K12" s="67">
        <v>0</v>
      </c>
      <c r="L12" s="67">
        <v>0</v>
      </c>
      <c r="M12" s="71">
        <v>0</v>
      </c>
      <c r="N12" s="83"/>
      <c r="O12" s="66"/>
      <c r="P12" s="67">
        <v>0</v>
      </c>
      <c r="Q12" s="67">
        <v>0</v>
      </c>
      <c r="R12" s="67">
        <v>0</v>
      </c>
      <c r="S12" s="83"/>
      <c r="T12" s="159"/>
      <c r="U12" s="83"/>
      <c r="V12" s="109" t="s">
        <v>393</v>
      </c>
      <c r="W12" s="110">
        <v>36</v>
      </c>
      <c r="X12" s="110" t="s">
        <v>163</v>
      </c>
      <c r="Y12" s="111" t="s">
        <v>270</v>
      </c>
      <c r="Z12" s="108"/>
      <c r="AA12" s="109" t="s">
        <v>393</v>
      </c>
      <c r="AB12" s="110">
        <v>36</v>
      </c>
      <c r="AC12" s="110" t="s">
        <v>163</v>
      </c>
      <c r="AD12" s="158" t="s">
        <v>270</v>
      </c>
      <c r="AE12" s="108"/>
    </row>
    <row r="13" spans="1:31">
      <c r="A13" s="57" t="s">
        <v>19</v>
      </c>
      <c r="B13" s="1">
        <v>32</v>
      </c>
      <c r="C13" s="6">
        <v>34</v>
      </c>
      <c r="D13" s="85"/>
      <c r="E13" s="162" t="s">
        <v>394</v>
      </c>
      <c r="F13" s="110">
        <v>34</v>
      </c>
      <c r="G13" s="110" t="s">
        <v>163</v>
      </c>
      <c r="H13" s="111" t="s">
        <v>270</v>
      </c>
      <c r="I13" s="108"/>
      <c r="J13" s="162" t="s">
        <v>394</v>
      </c>
      <c r="K13" s="110">
        <v>34</v>
      </c>
      <c r="L13" s="110" t="s">
        <v>163</v>
      </c>
      <c r="M13" s="111" t="s">
        <v>270</v>
      </c>
      <c r="N13" s="108"/>
      <c r="O13" s="66"/>
      <c r="P13" s="67">
        <v>0</v>
      </c>
      <c r="Q13" s="67">
        <v>0</v>
      </c>
      <c r="R13" s="67">
        <v>0</v>
      </c>
      <c r="S13" s="83"/>
      <c r="T13" s="159"/>
      <c r="U13" s="83"/>
      <c r="V13" s="97" t="s">
        <v>395</v>
      </c>
      <c r="W13" s="98">
        <v>28</v>
      </c>
      <c r="X13" s="98" t="s">
        <v>163</v>
      </c>
      <c r="Y13" s="99" t="s">
        <v>75</v>
      </c>
      <c r="Z13" s="96" t="s">
        <v>396</v>
      </c>
      <c r="AA13" s="97" t="s">
        <v>395</v>
      </c>
      <c r="AB13" s="98">
        <v>28</v>
      </c>
      <c r="AC13" s="98" t="s">
        <v>163</v>
      </c>
      <c r="AD13" s="167" t="s">
        <v>75</v>
      </c>
      <c r="AE13" s="96" t="s">
        <v>289</v>
      </c>
    </row>
    <row r="14" spans="1:31">
      <c r="A14" s="57" t="s">
        <v>21</v>
      </c>
      <c r="B14" s="1">
        <v>29</v>
      </c>
      <c r="C14" s="6">
        <v>34</v>
      </c>
      <c r="D14" s="85"/>
      <c r="E14" s="156" t="s">
        <v>397</v>
      </c>
      <c r="F14" s="67">
        <v>34</v>
      </c>
      <c r="G14" s="67" t="s">
        <v>225</v>
      </c>
      <c r="H14" s="71" t="s">
        <v>213</v>
      </c>
      <c r="I14" s="83" t="s">
        <v>380</v>
      </c>
      <c r="J14" s="156" t="s">
        <v>397</v>
      </c>
      <c r="K14" s="67">
        <v>34</v>
      </c>
      <c r="L14" s="67" t="s">
        <v>225</v>
      </c>
      <c r="M14" s="71" t="s">
        <v>213</v>
      </c>
      <c r="N14" s="83" t="s">
        <v>290</v>
      </c>
      <c r="O14" s="66"/>
      <c r="P14" s="67">
        <v>0</v>
      </c>
      <c r="Q14" s="67">
        <v>0</v>
      </c>
      <c r="R14" s="67">
        <v>0</v>
      </c>
      <c r="S14" s="83"/>
      <c r="T14" s="159"/>
      <c r="U14" s="83"/>
      <c r="V14" s="66" t="s">
        <v>398</v>
      </c>
      <c r="W14" s="67">
        <v>34</v>
      </c>
      <c r="X14" s="67" t="s">
        <v>247</v>
      </c>
      <c r="Y14" s="71" t="s">
        <v>252</v>
      </c>
      <c r="Z14" s="83" t="s">
        <v>296</v>
      </c>
      <c r="AA14" s="156" t="s">
        <v>398</v>
      </c>
      <c r="AB14" s="67">
        <v>34</v>
      </c>
      <c r="AC14" s="67" t="s">
        <v>247</v>
      </c>
      <c r="AD14" s="163" t="s">
        <v>252</v>
      </c>
      <c r="AE14" s="83" t="s">
        <v>399</v>
      </c>
    </row>
    <row r="15" spans="1:31">
      <c r="A15" s="57" t="s">
        <v>23</v>
      </c>
      <c r="B15" s="1">
        <v>22</v>
      </c>
      <c r="C15" s="6">
        <v>22</v>
      </c>
      <c r="D15" s="85"/>
      <c r="E15" s="156" t="s">
        <v>400</v>
      </c>
      <c r="F15" s="67">
        <v>18</v>
      </c>
      <c r="G15" s="67" t="s">
        <v>225</v>
      </c>
      <c r="H15" s="71" t="s">
        <v>212</v>
      </c>
      <c r="I15" s="83"/>
      <c r="J15" s="156" t="s">
        <v>400</v>
      </c>
      <c r="K15" s="67">
        <v>18</v>
      </c>
      <c r="L15" s="67" t="s">
        <v>225</v>
      </c>
      <c r="M15" s="71" t="s">
        <v>212</v>
      </c>
      <c r="N15" s="83"/>
      <c r="O15" s="66"/>
      <c r="P15" s="67">
        <v>0</v>
      </c>
      <c r="Q15" s="67">
        <v>0</v>
      </c>
      <c r="R15" s="67">
        <v>0</v>
      </c>
      <c r="S15" s="83"/>
      <c r="T15" s="159"/>
      <c r="U15" s="83"/>
      <c r="V15" s="66" t="s">
        <v>401</v>
      </c>
      <c r="W15" s="67">
        <v>17</v>
      </c>
      <c r="X15" s="67" t="s">
        <v>225</v>
      </c>
      <c r="Y15" s="71" t="s">
        <v>212</v>
      </c>
      <c r="Z15" s="83"/>
      <c r="AA15" s="66" t="s">
        <v>401</v>
      </c>
      <c r="AB15" s="67">
        <v>17</v>
      </c>
      <c r="AC15" s="67" t="s">
        <v>225</v>
      </c>
      <c r="AD15" s="163" t="s">
        <v>212</v>
      </c>
      <c r="AE15" s="83"/>
    </row>
    <row r="16" spans="1:31">
      <c r="A16" s="57" t="s">
        <v>25</v>
      </c>
      <c r="B16" s="1">
        <v>29</v>
      </c>
      <c r="C16" s="6">
        <v>31</v>
      </c>
      <c r="D16" s="87"/>
      <c r="E16" s="156"/>
      <c r="F16" s="67">
        <v>0</v>
      </c>
      <c r="G16" s="67">
        <v>0</v>
      </c>
      <c r="H16" s="71">
        <v>0</v>
      </c>
      <c r="I16" s="83"/>
      <c r="J16" s="66"/>
      <c r="K16" s="67">
        <v>0</v>
      </c>
      <c r="L16" s="67">
        <v>0</v>
      </c>
      <c r="M16" s="71">
        <v>0</v>
      </c>
      <c r="N16" s="83"/>
      <c r="O16" s="66"/>
      <c r="P16" s="67">
        <v>0</v>
      </c>
      <c r="Q16" s="67">
        <v>0</v>
      </c>
      <c r="R16" s="67">
        <v>0</v>
      </c>
      <c r="S16" s="83"/>
      <c r="T16" s="159"/>
      <c r="U16" s="88"/>
      <c r="V16" s="66"/>
      <c r="W16" s="67">
        <v>0</v>
      </c>
      <c r="X16" s="67">
        <v>0</v>
      </c>
      <c r="Y16" s="71">
        <v>0</v>
      </c>
      <c r="Z16" s="83"/>
      <c r="AA16" s="66"/>
      <c r="AB16" s="67">
        <v>0</v>
      </c>
      <c r="AC16" s="67">
        <v>0</v>
      </c>
      <c r="AD16" s="163">
        <v>0</v>
      </c>
      <c r="AE16" s="83"/>
    </row>
    <row r="17" spans="1:32">
      <c r="A17" s="57" t="s">
        <v>343</v>
      </c>
      <c r="B17" s="1">
        <v>39</v>
      </c>
      <c r="C17" s="6">
        <v>43</v>
      </c>
      <c r="D17" s="220" t="s">
        <v>223</v>
      </c>
      <c r="E17" s="168" t="s">
        <v>402</v>
      </c>
      <c r="F17" s="91">
        <v>20</v>
      </c>
      <c r="G17" s="91" t="s">
        <v>163</v>
      </c>
      <c r="H17" s="94" t="s">
        <v>222</v>
      </c>
      <c r="I17" s="93"/>
      <c r="J17" s="169" t="s">
        <v>402</v>
      </c>
      <c r="K17" s="91">
        <v>20</v>
      </c>
      <c r="L17" s="91" t="s">
        <v>163</v>
      </c>
      <c r="M17" s="94" t="s">
        <v>222</v>
      </c>
      <c r="N17" s="93"/>
      <c r="O17" s="66"/>
      <c r="P17" s="67">
        <v>0</v>
      </c>
      <c r="Q17" s="67">
        <v>0</v>
      </c>
      <c r="R17" s="67">
        <v>0</v>
      </c>
      <c r="S17" s="83"/>
      <c r="T17" s="159"/>
      <c r="U17" s="88"/>
      <c r="V17" s="156"/>
      <c r="W17" s="67">
        <v>0</v>
      </c>
      <c r="X17" s="67">
        <v>0</v>
      </c>
      <c r="Y17" s="71">
        <v>0</v>
      </c>
      <c r="Z17" s="83"/>
      <c r="AA17" s="156"/>
      <c r="AB17" s="67">
        <v>0</v>
      </c>
      <c r="AC17" s="67">
        <v>0</v>
      </c>
      <c r="AD17" s="163">
        <v>0</v>
      </c>
      <c r="AE17" s="83"/>
    </row>
    <row r="18" spans="1:32">
      <c r="A18" s="57"/>
      <c r="B18" s="1"/>
      <c r="C18" s="6"/>
      <c r="D18" s="221"/>
      <c r="E18" s="168" t="s">
        <v>403</v>
      </c>
      <c r="F18" s="91">
        <v>19</v>
      </c>
      <c r="G18" s="91" t="s">
        <v>163</v>
      </c>
      <c r="H18" s="94" t="s">
        <v>222</v>
      </c>
      <c r="I18" s="93"/>
      <c r="J18" s="169" t="s">
        <v>403</v>
      </c>
      <c r="K18" s="91">
        <v>19</v>
      </c>
      <c r="L18" s="91" t="s">
        <v>163</v>
      </c>
      <c r="M18" s="94" t="s">
        <v>222</v>
      </c>
      <c r="N18" s="93"/>
      <c r="O18" s="66"/>
      <c r="P18" s="67">
        <v>0</v>
      </c>
      <c r="Q18" s="67">
        <v>0</v>
      </c>
      <c r="R18" s="67">
        <v>0</v>
      </c>
      <c r="S18" s="83"/>
      <c r="T18" s="159"/>
      <c r="U18" s="88"/>
      <c r="V18" s="156"/>
      <c r="W18" s="67">
        <v>0</v>
      </c>
      <c r="X18" s="67">
        <v>0</v>
      </c>
      <c r="Y18" s="71">
        <v>0</v>
      </c>
      <c r="Z18" s="83"/>
      <c r="AA18" s="156"/>
      <c r="AB18" s="67">
        <v>0</v>
      </c>
      <c r="AC18" s="67">
        <v>0</v>
      </c>
      <c r="AD18" s="163">
        <v>0</v>
      </c>
      <c r="AE18" s="83"/>
    </row>
    <row r="19" spans="1:32">
      <c r="A19" s="57" t="s">
        <v>340</v>
      </c>
      <c r="B19" s="1">
        <v>40</v>
      </c>
      <c r="C19" s="6">
        <v>47</v>
      </c>
      <c r="D19" s="85"/>
      <c r="E19" s="156" t="s">
        <v>404</v>
      </c>
      <c r="F19" s="67">
        <v>34</v>
      </c>
      <c r="G19" s="67" t="s">
        <v>216</v>
      </c>
      <c r="H19" s="71" t="s">
        <v>221</v>
      </c>
      <c r="I19" s="83"/>
      <c r="J19" s="66" t="s">
        <v>405</v>
      </c>
      <c r="K19" s="67">
        <v>43</v>
      </c>
      <c r="L19" s="67" t="s">
        <v>216</v>
      </c>
      <c r="M19" s="71" t="s">
        <v>221</v>
      </c>
      <c r="N19" s="83"/>
      <c r="O19" s="66"/>
      <c r="P19" s="67">
        <v>0</v>
      </c>
      <c r="Q19" s="67">
        <v>0</v>
      </c>
      <c r="R19" s="67">
        <v>0</v>
      </c>
      <c r="S19" s="83"/>
      <c r="T19" s="159"/>
      <c r="U19" s="83"/>
      <c r="V19" s="66"/>
      <c r="W19" s="67">
        <v>0</v>
      </c>
      <c r="X19" s="67">
        <v>0</v>
      </c>
      <c r="Y19" s="71">
        <v>0</v>
      </c>
      <c r="Z19" s="83"/>
      <c r="AA19" s="66"/>
      <c r="AB19" s="67">
        <v>0</v>
      </c>
      <c r="AC19" s="67">
        <v>0</v>
      </c>
      <c r="AD19" s="163">
        <v>0</v>
      </c>
      <c r="AE19" s="83"/>
    </row>
    <row r="20" spans="1:32">
      <c r="A20" s="57" t="s">
        <v>31</v>
      </c>
      <c r="B20" s="1">
        <v>32</v>
      </c>
      <c r="C20" s="6">
        <v>34</v>
      </c>
      <c r="D20" s="85"/>
      <c r="E20" s="162" t="s">
        <v>406</v>
      </c>
      <c r="F20" s="110">
        <v>33</v>
      </c>
      <c r="G20" s="110" t="s">
        <v>163</v>
      </c>
      <c r="H20" s="111" t="s">
        <v>268</v>
      </c>
      <c r="I20" s="108"/>
      <c r="J20" s="162" t="s">
        <v>406</v>
      </c>
      <c r="K20" s="110">
        <v>33</v>
      </c>
      <c r="L20" s="110" t="s">
        <v>163</v>
      </c>
      <c r="M20" s="111" t="s">
        <v>268</v>
      </c>
      <c r="N20" s="108"/>
      <c r="O20" s="66"/>
      <c r="P20" s="67">
        <v>0</v>
      </c>
      <c r="Q20" s="67">
        <v>0</v>
      </c>
      <c r="R20" s="67">
        <v>0</v>
      </c>
      <c r="S20" s="83"/>
      <c r="T20" s="159"/>
      <c r="U20" s="83"/>
      <c r="V20" s="109" t="s">
        <v>407</v>
      </c>
      <c r="W20" s="110">
        <v>32</v>
      </c>
      <c r="X20" s="110" t="s">
        <v>163</v>
      </c>
      <c r="Y20" s="111" t="s">
        <v>268</v>
      </c>
      <c r="Z20" s="108"/>
      <c r="AA20" s="109" t="s">
        <v>407</v>
      </c>
      <c r="AB20" s="110">
        <v>32</v>
      </c>
      <c r="AC20" s="110" t="s">
        <v>163</v>
      </c>
      <c r="AD20" s="158" t="s">
        <v>268</v>
      </c>
      <c r="AE20" s="108"/>
    </row>
    <row r="21" spans="1:32">
      <c r="A21" s="57" t="s">
        <v>33</v>
      </c>
      <c r="B21" s="1">
        <v>32</v>
      </c>
      <c r="C21" s="6">
        <v>32</v>
      </c>
      <c r="D21" s="85"/>
      <c r="E21" s="156"/>
      <c r="F21" s="67">
        <v>0</v>
      </c>
      <c r="G21" s="67">
        <v>0</v>
      </c>
      <c r="H21" s="71">
        <v>0</v>
      </c>
      <c r="I21" s="83"/>
      <c r="J21" s="170"/>
      <c r="K21" s="67"/>
      <c r="L21" s="67"/>
      <c r="M21" s="71"/>
      <c r="N21" s="83"/>
      <c r="O21" s="66"/>
      <c r="P21" s="67">
        <v>0</v>
      </c>
      <c r="Q21" s="67">
        <v>0</v>
      </c>
      <c r="R21" s="67">
        <v>0</v>
      </c>
      <c r="S21" s="83"/>
      <c r="T21" s="159"/>
      <c r="U21" s="83"/>
      <c r="V21" s="66"/>
      <c r="W21" s="67">
        <v>0</v>
      </c>
      <c r="X21" s="67">
        <v>0</v>
      </c>
      <c r="Y21" s="71">
        <v>0</v>
      </c>
      <c r="Z21" s="83"/>
      <c r="AA21" s="156"/>
      <c r="AB21" s="67">
        <v>0</v>
      </c>
      <c r="AC21" s="67">
        <v>0</v>
      </c>
      <c r="AD21" s="163">
        <v>0</v>
      </c>
      <c r="AE21" s="83"/>
    </row>
    <row r="22" spans="1:32">
      <c r="A22" s="57" t="s">
        <v>35</v>
      </c>
      <c r="B22" s="1">
        <v>32</v>
      </c>
      <c r="C22" s="6">
        <v>32</v>
      </c>
      <c r="D22" s="85"/>
      <c r="E22" s="162" t="s">
        <v>408</v>
      </c>
      <c r="F22" s="110">
        <v>23</v>
      </c>
      <c r="G22" s="110" t="s">
        <v>163</v>
      </c>
      <c r="H22" s="111" t="s">
        <v>269</v>
      </c>
      <c r="I22" s="108"/>
      <c r="J22" s="162" t="s">
        <v>408</v>
      </c>
      <c r="K22" s="110">
        <v>23</v>
      </c>
      <c r="L22" s="110" t="s">
        <v>163</v>
      </c>
      <c r="M22" s="111" t="s">
        <v>269</v>
      </c>
      <c r="N22" s="108"/>
      <c r="O22" s="66"/>
      <c r="P22" s="67">
        <v>0</v>
      </c>
      <c r="Q22" s="67">
        <v>0</v>
      </c>
      <c r="R22" s="67">
        <v>0</v>
      </c>
      <c r="S22" s="83"/>
      <c r="T22" s="159"/>
      <c r="U22" s="83"/>
      <c r="V22" s="66" t="s">
        <v>409</v>
      </c>
      <c r="W22" s="67">
        <v>32</v>
      </c>
      <c r="X22" s="67" t="s">
        <v>247</v>
      </c>
      <c r="Y22" s="71" t="s">
        <v>251</v>
      </c>
      <c r="Z22" s="83"/>
      <c r="AA22" s="156" t="s">
        <v>409</v>
      </c>
      <c r="AB22" s="67">
        <v>32</v>
      </c>
      <c r="AC22" s="67" t="s">
        <v>247</v>
      </c>
      <c r="AD22" s="163" t="s">
        <v>251</v>
      </c>
      <c r="AE22" s="83"/>
    </row>
    <row r="23" spans="1:32">
      <c r="A23" s="57" t="s">
        <v>37</v>
      </c>
      <c r="B23" s="1">
        <v>29</v>
      </c>
      <c r="C23" s="6">
        <v>31</v>
      </c>
      <c r="D23" s="85"/>
      <c r="E23" s="156"/>
      <c r="F23" s="67">
        <v>0</v>
      </c>
      <c r="G23" s="67">
        <v>0</v>
      </c>
      <c r="H23" s="71">
        <v>0</v>
      </c>
      <c r="I23" s="83"/>
      <c r="J23" s="66"/>
      <c r="K23" s="67">
        <v>0</v>
      </c>
      <c r="L23" s="67">
        <v>0</v>
      </c>
      <c r="M23" s="71">
        <v>0</v>
      </c>
      <c r="N23" s="83"/>
      <c r="O23" s="66"/>
      <c r="P23" s="67">
        <v>0</v>
      </c>
      <c r="Q23" s="67">
        <v>0</v>
      </c>
      <c r="R23" s="67">
        <v>0</v>
      </c>
      <c r="S23" s="83"/>
      <c r="T23" s="159"/>
      <c r="U23" s="83"/>
      <c r="V23" s="109" t="s">
        <v>410</v>
      </c>
      <c r="W23" s="110">
        <v>30</v>
      </c>
      <c r="X23" s="110" t="s">
        <v>163</v>
      </c>
      <c r="Y23" s="111" t="s">
        <v>267</v>
      </c>
      <c r="Z23" s="108"/>
      <c r="AA23" s="109" t="s">
        <v>410</v>
      </c>
      <c r="AB23" s="110">
        <v>30</v>
      </c>
      <c r="AC23" s="110" t="s">
        <v>163</v>
      </c>
      <c r="AD23" s="158" t="s">
        <v>267</v>
      </c>
      <c r="AE23" s="108"/>
    </row>
    <row r="24" spans="1:32">
      <c r="A24" s="57" t="s">
        <v>39</v>
      </c>
      <c r="B24" s="1">
        <v>29</v>
      </c>
      <c r="C24" s="6">
        <v>35</v>
      </c>
      <c r="D24" s="85"/>
      <c r="E24" s="156"/>
      <c r="F24" s="67">
        <v>0</v>
      </c>
      <c r="G24" s="67">
        <v>0</v>
      </c>
      <c r="H24" s="71">
        <v>0</v>
      </c>
      <c r="I24" s="83"/>
      <c r="J24" s="156"/>
      <c r="K24" s="67">
        <v>0</v>
      </c>
      <c r="L24" s="67">
        <v>0</v>
      </c>
      <c r="M24" s="71">
        <v>0</v>
      </c>
      <c r="N24" s="83"/>
      <c r="O24" s="66"/>
      <c r="P24" s="67">
        <v>0</v>
      </c>
      <c r="Q24" s="67">
        <v>0</v>
      </c>
      <c r="R24" s="67">
        <v>0</v>
      </c>
      <c r="S24" s="83"/>
      <c r="T24" s="159"/>
      <c r="U24" s="83"/>
      <c r="V24" s="159" t="s">
        <v>411</v>
      </c>
      <c r="W24" s="67">
        <v>28</v>
      </c>
      <c r="X24" s="67" t="s">
        <v>247</v>
      </c>
      <c r="Y24" s="71" t="s">
        <v>255</v>
      </c>
      <c r="Z24" s="83"/>
      <c r="AA24" s="171" t="s">
        <v>411</v>
      </c>
      <c r="AB24" s="67">
        <v>28</v>
      </c>
      <c r="AC24" s="67" t="s">
        <v>247</v>
      </c>
      <c r="AD24" s="163" t="s">
        <v>255</v>
      </c>
      <c r="AE24" s="83"/>
      <c r="AF24" s="172"/>
    </row>
    <row r="25" spans="1:32">
      <c r="A25" s="57" t="s">
        <v>41</v>
      </c>
      <c r="B25" s="1">
        <v>29</v>
      </c>
      <c r="C25" s="6">
        <v>35</v>
      </c>
      <c r="D25" s="85"/>
      <c r="E25" s="156" t="s">
        <v>412</v>
      </c>
      <c r="F25" s="67">
        <v>32</v>
      </c>
      <c r="G25" s="67" t="s">
        <v>216</v>
      </c>
      <c r="H25" s="71" t="s">
        <v>218</v>
      </c>
      <c r="I25" s="83"/>
      <c r="J25" s="66" t="s">
        <v>413</v>
      </c>
      <c r="K25" s="67">
        <v>28</v>
      </c>
      <c r="L25" s="67" t="s">
        <v>216</v>
      </c>
      <c r="M25" s="71" t="s">
        <v>218</v>
      </c>
      <c r="N25" s="83"/>
      <c r="O25" s="66"/>
      <c r="P25" s="67">
        <v>0</v>
      </c>
      <c r="Q25" s="67">
        <v>0</v>
      </c>
      <c r="R25" s="67">
        <v>0</v>
      </c>
      <c r="S25" s="83"/>
      <c r="T25" s="159"/>
      <c r="U25" s="83"/>
      <c r="V25" s="66"/>
      <c r="W25" s="67">
        <v>0</v>
      </c>
      <c r="X25" s="67">
        <v>0</v>
      </c>
      <c r="Y25" s="71">
        <v>0</v>
      </c>
      <c r="Z25" s="83"/>
      <c r="AA25" s="156"/>
      <c r="AB25" s="67">
        <v>0</v>
      </c>
      <c r="AC25" s="67">
        <v>0</v>
      </c>
      <c r="AD25" s="163">
        <v>0</v>
      </c>
      <c r="AE25" s="83"/>
    </row>
    <row r="26" spans="1:32">
      <c r="A26" s="57" t="s">
        <v>43</v>
      </c>
      <c r="B26" s="1">
        <v>29</v>
      </c>
      <c r="C26" s="6">
        <v>38</v>
      </c>
      <c r="D26" s="85"/>
      <c r="E26" s="156" t="s">
        <v>414</v>
      </c>
      <c r="F26" s="67">
        <v>38</v>
      </c>
      <c r="G26" s="67" t="s">
        <v>247</v>
      </c>
      <c r="H26" s="71" t="s">
        <v>258</v>
      </c>
      <c r="I26" s="83"/>
      <c r="J26" s="156" t="s">
        <v>414</v>
      </c>
      <c r="K26" s="67">
        <v>38</v>
      </c>
      <c r="L26" s="67" t="s">
        <v>247</v>
      </c>
      <c r="M26" s="71" t="s">
        <v>258</v>
      </c>
      <c r="N26" s="83"/>
      <c r="O26" s="66"/>
      <c r="P26" s="67">
        <v>0</v>
      </c>
      <c r="Q26" s="67">
        <v>0</v>
      </c>
      <c r="R26" s="67">
        <v>0</v>
      </c>
      <c r="S26" s="83"/>
      <c r="T26" s="159"/>
      <c r="U26" s="88"/>
      <c r="V26" s="66" t="s">
        <v>415</v>
      </c>
      <c r="W26" s="67">
        <v>38</v>
      </c>
      <c r="X26" s="67" t="s">
        <v>216</v>
      </c>
      <c r="Y26" s="71" t="s">
        <v>218</v>
      </c>
      <c r="Z26" s="83"/>
      <c r="AA26" s="171"/>
      <c r="AB26" s="67">
        <v>0</v>
      </c>
      <c r="AC26" s="67">
        <v>0</v>
      </c>
      <c r="AD26" s="163">
        <v>0</v>
      </c>
      <c r="AE26" s="83"/>
    </row>
    <row r="27" spans="1:32">
      <c r="A27" s="57"/>
      <c r="B27" s="1"/>
      <c r="C27" s="6"/>
      <c r="D27" s="85"/>
      <c r="E27" s="156"/>
      <c r="F27" s="67"/>
      <c r="G27" s="67"/>
      <c r="H27" s="71"/>
      <c r="I27" s="83"/>
      <c r="J27" s="66"/>
      <c r="K27" s="67"/>
      <c r="L27" s="67"/>
      <c r="M27" s="71"/>
      <c r="N27" s="83"/>
      <c r="O27" s="66"/>
      <c r="P27" s="67">
        <v>0</v>
      </c>
      <c r="Q27" s="67">
        <v>0</v>
      </c>
      <c r="R27" s="67">
        <v>0</v>
      </c>
      <c r="S27" s="83"/>
      <c r="T27" s="159"/>
      <c r="U27" s="88"/>
      <c r="V27" s="66"/>
      <c r="W27" s="67">
        <v>0</v>
      </c>
      <c r="X27" s="67">
        <v>0</v>
      </c>
      <c r="Y27" s="71">
        <v>0</v>
      </c>
      <c r="Z27" s="83"/>
      <c r="AA27" s="156"/>
      <c r="AB27" s="67">
        <v>0</v>
      </c>
      <c r="AC27" s="67">
        <v>0</v>
      </c>
      <c r="AD27" s="163">
        <v>0</v>
      </c>
      <c r="AE27" s="83"/>
    </row>
    <row r="28" spans="1:32">
      <c r="A28" s="173" t="s">
        <v>416</v>
      </c>
      <c r="B28" s="5">
        <v>29</v>
      </c>
      <c r="C28" s="174">
        <v>34</v>
      </c>
      <c r="D28" s="89"/>
      <c r="E28" s="175" t="s">
        <v>417</v>
      </c>
      <c r="F28" s="176">
        <v>34</v>
      </c>
      <c r="G28" s="177" t="s">
        <v>58</v>
      </c>
      <c r="H28" s="178" t="s">
        <v>299</v>
      </c>
      <c r="I28" s="165"/>
      <c r="J28" s="175" t="s">
        <v>417</v>
      </c>
      <c r="K28" s="176">
        <v>34</v>
      </c>
      <c r="L28" s="177" t="s">
        <v>58</v>
      </c>
      <c r="M28" s="178" t="s">
        <v>299</v>
      </c>
      <c r="N28" s="165"/>
      <c r="O28" s="179"/>
      <c r="P28" s="176"/>
      <c r="Q28" s="176"/>
      <c r="R28" s="176"/>
      <c r="S28" s="165"/>
      <c r="T28" s="180"/>
      <c r="U28" s="181"/>
      <c r="V28" s="179" t="s">
        <v>418</v>
      </c>
      <c r="W28" s="176"/>
      <c r="X28" s="176" t="s">
        <v>163</v>
      </c>
      <c r="Y28" s="178" t="s">
        <v>169</v>
      </c>
      <c r="Z28" s="165"/>
      <c r="AA28" s="179" t="s">
        <v>418</v>
      </c>
      <c r="AB28" s="176"/>
      <c r="AC28" s="176" t="s">
        <v>163</v>
      </c>
      <c r="AD28" s="178" t="s">
        <v>169</v>
      </c>
      <c r="AE28" s="165"/>
    </row>
    <row r="29" spans="1:32" ht="17.25" thickBot="1">
      <c r="A29" s="113" t="s">
        <v>45</v>
      </c>
      <c r="B29" s="114">
        <v>29</v>
      </c>
      <c r="C29" s="115">
        <v>33</v>
      </c>
      <c r="D29" s="116"/>
      <c r="E29" s="182" t="s">
        <v>419</v>
      </c>
      <c r="F29" s="118">
        <v>34</v>
      </c>
      <c r="G29" s="118" t="s">
        <v>247</v>
      </c>
      <c r="H29" s="119" t="s">
        <v>253</v>
      </c>
      <c r="I29" s="120"/>
      <c r="J29" s="182" t="s">
        <v>419</v>
      </c>
      <c r="K29" s="118">
        <v>34</v>
      </c>
      <c r="L29" s="118" t="s">
        <v>247</v>
      </c>
      <c r="M29" s="119" t="s">
        <v>253</v>
      </c>
      <c r="N29" s="120"/>
      <c r="O29" s="117"/>
      <c r="P29" s="118">
        <v>0</v>
      </c>
      <c r="Q29" s="118">
        <v>0</v>
      </c>
      <c r="R29" s="118">
        <v>0</v>
      </c>
      <c r="S29" s="183"/>
      <c r="T29" s="184"/>
      <c r="U29" s="120"/>
      <c r="V29" s="117" t="s">
        <v>420</v>
      </c>
      <c r="W29" s="118">
        <v>34</v>
      </c>
      <c r="X29" s="118" t="s">
        <v>247</v>
      </c>
      <c r="Y29" s="119" t="s">
        <v>253</v>
      </c>
      <c r="Z29" s="183"/>
      <c r="AA29" s="182" t="s">
        <v>420</v>
      </c>
      <c r="AB29" s="118">
        <v>34</v>
      </c>
      <c r="AC29" s="118" t="s">
        <v>247</v>
      </c>
      <c r="AD29" s="185" t="s">
        <v>253</v>
      </c>
      <c r="AE29" s="120"/>
    </row>
    <row r="30" spans="1:32" hidden="1">
      <c r="A30" s="124" t="s">
        <v>51</v>
      </c>
      <c r="B30" s="125">
        <v>29</v>
      </c>
      <c r="C30" s="126">
        <v>30</v>
      </c>
      <c r="D30" s="127"/>
      <c r="E30" s="128"/>
      <c r="F30" s="125">
        <f>IFERROR(_xlfn.XLOOKUP(E30,[1]Classes!$B:$B,[1]Classes!$I:$I),"")</f>
        <v>0</v>
      </c>
      <c r="G30" s="125">
        <f>IFERROR(_xlfn.XLOOKUP(E30,[1]Classes!$B:$B,[1]Classes!$D:$D),"")</f>
        <v>0</v>
      </c>
      <c r="H30" s="129">
        <f>IFERROR(_xlfn.XLOOKUP(E30,[1]Classes!$B:$B,[1]Classes!$E:$E),"")</f>
        <v>0</v>
      </c>
      <c r="I30" s="130"/>
      <c r="J30" s="128"/>
      <c r="K30" s="125">
        <f>IFERROR(_xlfn.XLOOKUP(J30,[1]Classes!$B:$B,[1]Classes!$I:$I),"")</f>
        <v>0</v>
      </c>
      <c r="L30" s="125">
        <f>IFERROR(_xlfn.XLOOKUP(J30,[1]Classes!$B:$B,[1]Classes!$D:$D),"")</f>
        <v>0</v>
      </c>
      <c r="M30" s="129">
        <f>IFERROR(_xlfn.XLOOKUP(J30,[1]Classes!$B:$B,[1]Classes!$E:$E),"")</f>
        <v>0</v>
      </c>
      <c r="N30" s="130"/>
      <c r="O30" s="128"/>
      <c r="P30" s="125">
        <f>IFERROR(_xlfn.XLOOKUP(O30,[1]Classes!$B:$B,[1]Classes!$I:$I),"")</f>
        <v>0</v>
      </c>
      <c r="Q30" s="125">
        <f>IFERROR(_xlfn.XLOOKUP(O30,[1]Classes!$B:$B,[1]Classes!$D:$D),"")</f>
        <v>0</v>
      </c>
      <c r="R30" s="125">
        <f>IFERROR(_xlfn.XLOOKUP(O30,[1]Classes!$B:$B,[1]Classes!$E:$E),"")</f>
        <v>0</v>
      </c>
      <c r="S30" s="130"/>
      <c r="T30" s="186"/>
      <c r="U30" s="187"/>
      <c r="V30" s="128"/>
      <c r="W30" s="125">
        <f>IFERROR(_xlfn.XLOOKUP(V30,[1]Classes!$B:$B,[1]Classes!$I:$I),"")</f>
        <v>0</v>
      </c>
      <c r="X30" s="125">
        <f>IFERROR(_xlfn.XLOOKUP(V30,[1]Classes!$B:$B,[1]Classes!$D:$D),"")</f>
        <v>0</v>
      </c>
      <c r="Y30" s="129">
        <f>IFERROR(_xlfn.XLOOKUP(V30,[1]Classes!$B:$B,[1]Classes!$E:$E),"")</f>
        <v>0</v>
      </c>
      <c r="Z30" s="126"/>
      <c r="AA30" s="128"/>
      <c r="AB30" s="125">
        <f>IFERROR(_xlfn.XLOOKUP(AA30,[1]Classes!$B:$B,[1]Classes!$I:$I),"")</f>
        <v>0</v>
      </c>
      <c r="AC30" s="125">
        <f>IFERROR(_xlfn.XLOOKUP(AA30,[1]Classes!$B:$B,[1]Classes!$D:$D),"")</f>
        <v>0</v>
      </c>
      <c r="AD30" s="188">
        <f>IFERROR(_xlfn.XLOOKUP(AA30,[1]Classes!$B:$B,[1]Classes!$E:$E),"")</f>
        <v>0</v>
      </c>
      <c r="AE30" s="130"/>
    </row>
    <row r="31" spans="1:32" hidden="1">
      <c r="A31" s="133" t="s">
        <v>52</v>
      </c>
      <c r="B31" s="1">
        <v>29</v>
      </c>
      <c r="C31" s="6">
        <v>30</v>
      </c>
      <c r="D31" s="58"/>
      <c r="E31" s="59"/>
      <c r="F31" s="1">
        <f>IFERROR(_xlfn.XLOOKUP(E31,[1]Classes!$B:$B,[1]Classes!$I:$I),"")</f>
        <v>0</v>
      </c>
      <c r="G31" s="1">
        <f>IFERROR(_xlfn.XLOOKUP(E31,[1]Classes!$B:$B,[1]Classes!$D:$D),"")</f>
        <v>0</v>
      </c>
      <c r="H31" s="60">
        <f>IFERROR(_xlfn.XLOOKUP(E31,[1]Classes!$B:$B,[1]Classes!$E:$E),"")</f>
        <v>0</v>
      </c>
      <c r="I31" s="62"/>
      <c r="J31" s="59"/>
      <c r="K31" s="1">
        <f>IFERROR(_xlfn.XLOOKUP(J31,[1]Classes!$B:$B,[1]Classes!$I:$I),"")</f>
        <v>0</v>
      </c>
      <c r="L31" s="1">
        <f>IFERROR(_xlfn.XLOOKUP(J31,[1]Classes!$B:$B,[1]Classes!$D:$D),"")</f>
        <v>0</v>
      </c>
      <c r="M31" s="60">
        <f>IFERROR(_xlfn.XLOOKUP(J31,[1]Classes!$B:$B,[1]Classes!$E:$E),"")</f>
        <v>0</v>
      </c>
      <c r="N31" s="62"/>
      <c r="O31" s="59"/>
      <c r="P31" s="1">
        <f>IFERROR(_xlfn.XLOOKUP(O31,[1]Classes!$B:$B,[1]Classes!$I:$I),"")</f>
        <v>0</v>
      </c>
      <c r="Q31" s="1">
        <f>IFERROR(_xlfn.XLOOKUP(O31,[1]Classes!$B:$B,[1]Classes!$D:$D),"")</f>
        <v>0</v>
      </c>
      <c r="R31" s="1">
        <f>IFERROR(_xlfn.XLOOKUP(O31,[1]Classes!$B:$B,[1]Classes!$E:$E),"")</f>
        <v>0</v>
      </c>
      <c r="S31" s="62"/>
      <c r="T31" s="157"/>
      <c r="U31" s="83"/>
      <c r="V31" s="59"/>
      <c r="W31" s="1">
        <f>IFERROR(_xlfn.XLOOKUP(V31,[1]Classes!$B:$B,[1]Classes!$I:$I),"")</f>
        <v>0</v>
      </c>
      <c r="X31" s="1">
        <f>IFERROR(_xlfn.XLOOKUP(V31,[1]Classes!$B:$B,[1]Classes!$D:$D),"")</f>
        <v>0</v>
      </c>
      <c r="Y31" s="60">
        <f>IFERROR(_xlfn.XLOOKUP(V31,[1]Classes!$B:$B,[1]Classes!$E:$E),"")</f>
        <v>0</v>
      </c>
      <c r="Z31" s="6"/>
      <c r="AA31" s="59"/>
      <c r="AB31" s="1">
        <f>IFERROR(_xlfn.XLOOKUP(AA31,[1]Classes!$B:$B,[1]Classes!$I:$I),"")</f>
        <v>0</v>
      </c>
      <c r="AC31" s="1">
        <f>IFERROR(_xlfn.XLOOKUP(AA31,[1]Classes!$B:$B,[1]Classes!$D:$D),"")</f>
        <v>0</v>
      </c>
      <c r="AD31" s="189">
        <f>IFERROR(_xlfn.XLOOKUP(AA31,[1]Classes!$B:$B,[1]Classes!$E:$E),"")</f>
        <v>0</v>
      </c>
      <c r="AE31" s="69"/>
    </row>
    <row r="32" spans="1:32" hidden="1">
      <c r="A32" s="133" t="s">
        <v>50</v>
      </c>
      <c r="B32" s="1">
        <v>29</v>
      </c>
      <c r="C32" s="6">
        <v>30</v>
      </c>
      <c r="D32" s="58"/>
      <c r="E32" s="59"/>
      <c r="F32" s="1">
        <f>IFERROR(_xlfn.XLOOKUP(E32,[1]Classes!$B:$B,[1]Classes!$I:$I),"")</f>
        <v>0</v>
      </c>
      <c r="G32" s="1">
        <f>IFERROR(_xlfn.XLOOKUP(E32,[1]Classes!$B:$B,[1]Classes!$D:$D),"")</f>
        <v>0</v>
      </c>
      <c r="H32" s="60">
        <f>IFERROR(_xlfn.XLOOKUP(E32,[1]Classes!$B:$B,[1]Classes!$E:$E),"")</f>
        <v>0</v>
      </c>
      <c r="I32" s="69"/>
      <c r="J32" s="59"/>
      <c r="K32" s="1">
        <f>IFERROR(_xlfn.XLOOKUP(J32,[1]Classes!$B:$B,[1]Classes!$I:$I),"")</f>
        <v>0</v>
      </c>
      <c r="L32" s="1">
        <f>IFERROR(_xlfn.XLOOKUP(J32,[1]Classes!$B:$B,[1]Classes!$D:$D),"")</f>
        <v>0</v>
      </c>
      <c r="M32" s="60">
        <f>IFERROR(_xlfn.XLOOKUP(J32,[1]Classes!$B:$B,[1]Classes!$E:$E),"")</f>
        <v>0</v>
      </c>
      <c r="N32" s="69"/>
      <c r="O32" s="59"/>
      <c r="P32" s="1">
        <f>IFERROR(_xlfn.XLOOKUP(O32,[1]Classes!$B:$B,[1]Classes!$I:$I),"")</f>
        <v>0</v>
      </c>
      <c r="Q32" s="1">
        <f>IFERROR(_xlfn.XLOOKUP(O32,[1]Classes!$B:$B,[1]Classes!$D:$D),"")</f>
        <v>0</v>
      </c>
      <c r="R32" s="1">
        <f>IFERROR(_xlfn.XLOOKUP(O32,[1]Classes!$B:$B,[1]Classes!$E:$E),"")</f>
        <v>0</v>
      </c>
      <c r="S32" s="69"/>
      <c r="T32" s="157"/>
      <c r="U32" s="83"/>
      <c r="V32" s="59"/>
      <c r="W32" s="1">
        <f>IFERROR(_xlfn.XLOOKUP(V32,[1]Classes!$B:$B,[1]Classes!$I:$I),"")</f>
        <v>0</v>
      </c>
      <c r="X32" s="1">
        <f>IFERROR(_xlfn.XLOOKUP(V32,[1]Classes!$B:$B,[1]Classes!$D:$D),"")</f>
        <v>0</v>
      </c>
      <c r="Y32" s="60">
        <f>IFERROR(_xlfn.XLOOKUP(V32,[1]Classes!$B:$B,[1]Classes!$E:$E),"")</f>
        <v>0</v>
      </c>
      <c r="Z32" s="6"/>
      <c r="AA32" s="59"/>
      <c r="AB32" s="1">
        <f>IFERROR(_xlfn.XLOOKUP(AA32,[1]Classes!$B:$B,[1]Classes!$I:$I),"")</f>
        <v>0</v>
      </c>
      <c r="AC32" s="1">
        <f>IFERROR(_xlfn.XLOOKUP(AA32,[1]Classes!$B:$B,[1]Classes!$D:$D),"")</f>
        <v>0</v>
      </c>
      <c r="AD32" s="189">
        <f>IFERROR(_xlfn.XLOOKUP(AA32,[1]Classes!$B:$B,[1]Classes!$E:$E),"")</f>
        <v>0</v>
      </c>
      <c r="AE32" s="69"/>
    </row>
    <row r="33" spans="1:31" hidden="1">
      <c r="A33" s="133" t="s">
        <v>53</v>
      </c>
      <c r="B33" s="1">
        <v>29</v>
      </c>
      <c r="C33" s="6">
        <v>30</v>
      </c>
      <c r="D33" s="58"/>
      <c r="E33" s="59"/>
      <c r="F33" s="1">
        <f>IFERROR(_xlfn.XLOOKUP(E33,[1]Classes!$B:$B,[1]Classes!$I:$I),"")</f>
        <v>0</v>
      </c>
      <c r="G33" s="1">
        <f>IFERROR(_xlfn.XLOOKUP(E33,[1]Classes!$B:$B,[1]Classes!$D:$D),"")</f>
        <v>0</v>
      </c>
      <c r="H33" s="60">
        <f>IFERROR(_xlfn.XLOOKUP(E33,[1]Classes!$B:$B,[1]Classes!$E:$E),"")</f>
        <v>0</v>
      </c>
      <c r="I33" s="69"/>
      <c r="J33" s="59"/>
      <c r="K33" s="1">
        <f>IFERROR(_xlfn.XLOOKUP(J33,[1]Classes!$B:$B,[1]Classes!$I:$I),"")</f>
        <v>0</v>
      </c>
      <c r="L33" s="1">
        <f>IFERROR(_xlfn.XLOOKUP(J33,[1]Classes!$B:$B,[1]Classes!$D:$D),"")</f>
        <v>0</v>
      </c>
      <c r="M33" s="60">
        <f>IFERROR(_xlfn.XLOOKUP(J33,[1]Classes!$B:$B,[1]Classes!$E:$E),"")</f>
        <v>0</v>
      </c>
      <c r="N33" s="69"/>
      <c r="O33" s="59"/>
      <c r="P33" s="1">
        <f>IFERROR(_xlfn.XLOOKUP(O33,[1]Classes!$B:$B,[1]Classes!$I:$I),"")</f>
        <v>0</v>
      </c>
      <c r="Q33" s="1">
        <f>IFERROR(_xlfn.XLOOKUP(O33,[1]Classes!$B:$B,[1]Classes!$D:$D),"")</f>
        <v>0</v>
      </c>
      <c r="R33" s="1">
        <f>IFERROR(_xlfn.XLOOKUP(O33,[1]Classes!$B:$B,[1]Classes!$E:$E),"")</f>
        <v>0</v>
      </c>
      <c r="S33" s="69"/>
      <c r="T33" s="157"/>
      <c r="U33" s="83"/>
      <c r="V33" s="59"/>
      <c r="W33" s="1">
        <f>IFERROR(_xlfn.XLOOKUP(V33,[1]Classes!$B:$B,[1]Classes!$I:$I),"")</f>
        <v>0</v>
      </c>
      <c r="X33" s="1">
        <f>IFERROR(_xlfn.XLOOKUP(V33,[1]Classes!$B:$B,[1]Classes!$D:$D),"")</f>
        <v>0</v>
      </c>
      <c r="Y33" s="60">
        <f>IFERROR(_xlfn.XLOOKUP(V33,[1]Classes!$B:$B,[1]Classes!$E:$E),"")</f>
        <v>0</v>
      </c>
      <c r="Z33" s="6"/>
      <c r="AA33" s="59"/>
      <c r="AB33" s="1">
        <f>IFERROR(_xlfn.XLOOKUP(AA33,[1]Classes!$B:$B,[1]Classes!$I:$I),"")</f>
        <v>0</v>
      </c>
      <c r="AC33" s="1">
        <f>IFERROR(_xlfn.XLOOKUP(AA33,[1]Classes!$B:$B,[1]Classes!$D:$D),"")</f>
        <v>0</v>
      </c>
      <c r="AD33" s="189">
        <f>IFERROR(_xlfn.XLOOKUP(AA33,[1]Classes!$B:$B,[1]Classes!$E:$E),"")</f>
        <v>0</v>
      </c>
      <c r="AE33" s="69"/>
    </row>
    <row r="34" spans="1:31" hidden="1">
      <c r="A34" s="133" t="s">
        <v>48</v>
      </c>
      <c r="B34" s="1"/>
      <c r="C34" s="6">
        <v>80</v>
      </c>
      <c r="D34" s="58"/>
      <c r="E34" s="59"/>
      <c r="F34" s="1">
        <f>IFERROR(_xlfn.XLOOKUP(E34,[1]Classes!$B:$B,[1]Classes!$I:$I),"")</f>
        <v>0</v>
      </c>
      <c r="G34" s="1">
        <f>IFERROR(_xlfn.XLOOKUP(E34,[1]Classes!$B:$B,[1]Classes!$D:$D),"")</f>
        <v>0</v>
      </c>
      <c r="H34" s="60">
        <f>IFERROR(_xlfn.XLOOKUP(E34,[1]Classes!$B:$B,[1]Classes!$E:$E),"")</f>
        <v>0</v>
      </c>
      <c r="I34" s="69"/>
      <c r="J34" s="59"/>
      <c r="K34" s="1">
        <f>IFERROR(_xlfn.XLOOKUP(J34,[1]Classes!$B:$B,[1]Classes!$I:$I),"")</f>
        <v>0</v>
      </c>
      <c r="L34" s="1">
        <f>IFERROR(_xlfn.XLOOKUP(J34,[1]Classes!$B:$B,[1]Classes!$D:$D),"")</f>
        <v>0</v>
      </c>
      <c r="M34" s="60">
        <f>IFERROR(_xlfn.XLOOKUP(J34,[1]Classes!$B:$B,[1]Classes!$E:$E),"")</f>
        <v>0</v>
      </c>
      <c r="N34" s="69"/>
      <c r="O34" s="59"/>
      <c r="P34" s="1">
        <f>IFERROR(_xlfn.XLOOKUP(O34,[1]Classes!$B:$B,[1]Classes!$I:$I),"")</f>
        <v>0</v>
      </c>
      <c r="Q34" s="1">
        <f>IFERROR(_xlfn.XLOOKUP(O34,[1]Classes!$B:$B,[1]Classes!$D:$D),"")</f>
        <v>0</v>
      </c>
      <c r="R34" s="1">
        <f>IFERROR(_xlfn.XLOOKUP(O34,[1]Classes!$B:$B,[1]Classes!$E:$E),"")</f>
        <v>0</v>
      </c>
      <c r="S34" s="69"/>
      <c r="T34" s="157"/>
      <c r="U34" s="83"/>
      <c r="V34" s="59"/>
      <c r="W34" s="1">
        <f>IFERROR(_xlfn.XLOOKUP(V34,[1]Classes!$B:$B,[1]Classes!$I:$I),"")</f>
        <v>0</v>
      </c>
      <c r="X34" s="1">
        <f>IFERROR(_xlfn.XLOOKUP(V34,[1]Classes!$B:$B,[1]Classes!$D:$D),"")</f>
        <v>0</v>
      </c>
      <c r="Y34" s="60">
        <f>IFERROR(_xlfn.XLOOKUP(V34,[1]Classes!$B:$B,[1]Classes!$E:$E),"")</f>
        <v>0</v>
      </c>
      <c r="Z34" s="6"/>
      <c r="AA34" s="59"/>
      <c r="AB34" s="1">
        <f>IFERROR(_xlfn.XLOOKUP(AA34,[1]Classes!$B:$B,[1]Classes!$I:$I),"")</f>
        <v>0</v>
      </c>
      <c r="AC34" s="1">
        <f>IFERROR(_xlfn.XLOOKUP(AA34,[1]Classes!$B:$B,[1]Classes!$D:$D),"")</f>
        <v>0</v>
      </c>
      <c r="AD34" s="189">
        <f>IFERROR(_xlfn.XLOOKUP(AA34,[1]Classes!$B:$B,[1]Classes!$E:$E),"")</f>
        <v>0</v>
      </c>
      <c r="AE34" s="69"/>
    </row>
    <row r="35" spans="1:31" hidden="1">
      <c r="A35" s="133" t="s">
        <v>49</v>
      </c>
      <c r="B35" s="1">
        <v>29</v>
      </c>
      <c r="C35" s="6">
        <v>30</v>
      </c>
      <c r="D35" s="58"/>
      <c r="E35" s="59"/>
      <c r="F35" s="1">
        <f>IFERROR(_xlfn.XLOOKUP(E35,[1]Classes!$B:$B,[1]Classes!$I:$I),"")</f>
        <v>0</v>
      </c>
      <c r="G35" s="1">
        <f>IFERROR(_xlfn.XLOOKUP(E35,[1]Classes!$B:$B,[1]Classes!$D:$D),"")</f>
        <v>0</v>
      </c>
      <c r="H35" s="60">
        <f>IFERROR(_xlfn.XLOOKUP(E35,[1]Classes!$B:$B,[1]Classes!$E:$E),"")</f>
        <v>0</v>
      </c>
      <c r="I35" s="69"/>
      <c r="J35" s="59"/>
      <c r="K35" s="1">
        <f>IFERROR(_xlfn.XLOOKUP(J35,[1]Classes!$B:$B,[1]Classes!$I:$I),"")</f>
        <v>0</v>
      </c>
      <c r="L35" s="1">
        <f>IFERROR(_xlfn.XLOOKUP(J35,[1]Classes!$B:$B,[1]Classes!$D:$D),"")</f>
        <v>0</v>
      </c>
      <c r="M35" s="60">
        <f>IFERROR(_xlfn.XLOOKUP(J35,[1]Classes!$B:$B,[1]Classes!$E:$E),"")</f>
        <v>0</v>
      </c>
      <c r="N35" s="69"/>
      <c r="O35" s="59"/>
      <c r="P35" s="1">
        <f>IFERROR(_xlfn.XLOOKUP(O35,[1]Classes!$B:$B,[1]Classes!$I:$I),"")</f>
        <v>0</v>
      </c>
      <c r="Q35" s="1">
        <f>IFERROR(_xlfn.XLOOKUP(O35,[1]Classes!$B:$B,[1]Classes!$D:$D),"")</f>
        <v>0</v>
      </c>
      <c r="R35" s="1">
        <f>IFERROR(_xlfn.XLOOKUP(O35,[1]Classes!$B:$B,[1]Classes!$E:$E),"")</f>
        <v>0</v>
      </c>
      <c r="S35" s="69"/>
      <c r="T35" s="157"/>
      <c r="U35" s="83"/>
      <c r="V35" s="59"/>
      <c r="W35" s="1">
        <f>IFERROR(_xlfn.XLOOKUP(V35,[1]Classes!$B:$B,[1]Classes!$I:$I),"")</f>
        <v>0</v>
      </c>
      <c r="X35" s="1">
        <f>IFERROR(_xlfn.XLOOKUP(V35,[1]Classes!$B:$B,[1]Classes!$D:$D),"")</f>
        <v>0</v>
      </c>
      <c r="Y35" s="60">
        <f>IFERROR(_xlfn.XLOOKUP(V35,[1]Classes!$B:$B,[1]Classes!$E:$E),"")</f>
        <v>0</v>
      </c>
      <c r="Z35" s="6"/>
      <c r="AA35" s="59"/>
      <c r="AB35" s="1">
        <f>IFERROR(_xlfn.XLOOKUP(AA35,[1]Classes!$B:$B,[1]Classes!$I:$I),"")</f>
        <v>0</v>
      </c>
      <c r="AC35" s="1">
        <f>IFERROR(_xlfn.XLOOKUP(AA35,[1]Classes!$B:$B,[1]Classes!$D:$D),"")</f>
        <v>0</v>
      </c>
      <c r="AD35" s="189">
        <f>IFERROR(_xlfn.XLOOKUP(AA35,[1]Classes!$B:$B,[1]Classes!$E:$E),"")</f>
        <v>0</v>
      </c>
      <c r="AE35" s="69"/>
    </row>
    <row r="36" spans="1:31" ht="17.25" hidden="1" thickBot="1">
      <c r="A36" s="133" t="s">
        <v>47</v>
      </c>
      <c r="B36" s="1"/>
      <c r="C36" s="6">
        <v>80</v>
      </c>
      <c r="D36" s="137"/>
      <c r="E36" s="138"/>
      <c r="F36" s="114">
        <f>IFERROR(_xlfn.XLOOKUP(E36,[1]Classes!$B:$B,[1]Classes!$I:$I),"")</f>
        <v>0</v>
      </c>
      <c r="G36" s="114">
        <f>IFERROR(_xlfn.XLOOKUP(E36,[1]Classes!$B:$B,[1]Classes!$D:$D),"")</f>
        <v>0</v>
      </c>
      <c r="H36" s="121">
        <f>IFERROR(_xlfn.XLOOKUP(E36,[1]Classes!$B:$B,[1]Classes!$E:$E),"")</f>
        <v>0</v>
      </c>
      <c r="I36" s="139"/>
      <c r="J36" s="138"/>
      <c r="K36" s="114">
        <f>IFERROR(_xlfn.XLOOKUP(J36,[1]Classes!$B:$B,[1]Classes!$I:$I),"")</f>
        <v>0</v>
      </c>
      <c r="L36" s="114">
        <f>IFERROR(_xlfn.XLOOKUP(J36,[1]Classes!$B:$B,[1]Classes!$D:$D),"")</f>
        <v>0</v>
      </c>
      <c r="M36" s="121">
        <f>IFERROR(_xlfn.XLOOKUP(J36,[1]Classes!$B:$B,[1]Classes!$E:$E),"")</f>
        <v>0</v>
      </c>
      <c r="N36" s="139"/>
      <c r="O36" s="138"/>
      <c r="P36" s="114">
        <f>IFERROR(_xlfn.XLOOKUP(O36,[1]Classes!$B:$B,[1]Classes!$I:$I),"")</f>
        <v>0</v>
      </c>
      <c r="Q36" s="114">
        <f>IFERROR(_xlfn.XLOOKUP(O36,[1]Classes!$B:$B,[1]Classes!$D:$D),"")</f>
        <v>0</v>
      </c>
      <c r="R36" s="114">
        <f>IFERROR(_xlfn.XLOOKUP(O36,[1]Classes!$B:$B,[1]Classes!$E:$E),"")</f>
        <v>0</v>
      </c>
      <c r="S36" s="139"/>
      <c r="T36" s="190"/>
      <c r="U36" s="120"/>
      <c r="V36" s="138"/>
      <c r="W36" s="114">
        <f>IFERROR(_xlfn.XLOOKUP(V36,[1]Classes!$B:$B,[1]Classes!$I:$I),"")</f>
        <v>0</v>
      </c>
      <c r="X36" s="114">
        <f>IFERROR(_xlfn.XLOOKUP(V36,[1]Classes!$B:$B,[1]Classes!$D:$D),"")</f>
        <v>0</v>
      </c>
      <c r="Y36" s="121">
        <f>IFERROR(_xlfn.XLOOKUP(V36,[1]Classes!$B:$B,[1]Classes!$E:$E),"")</f>
        <v>0</v>
      </c>
      <c r="Z36" s="115"/>
      <c r="AA36" s="138"/>
      <c r="AB36" s="114">
        <f>IFERROR(_xlfn.XLOOKUP(AA36,[1]Classes!$B:$B,[1]Classes!$I:$I),"")</f>
        <v>0</v>
      </c>
      <c r="AC36" s="114">
        <f>IFERROR(_xlfn.XLOOKUP(AA36,[1]Classes!$B:$B,[1]Classes!$D:$D),"")</f>
        <v>0</v>
      </c>
      <c r="AD36" s="191">
        <f>IFERROR(_xlfn.XLOOKUP(AA36,[1]Classes!$B:$B,[1]Classes!$E:$E),"")</f>
        <v>0</v>
      </c>
      <c r="AE36" s="139"/>
    </row>
    <row r="38" spans="1:31">
      <c r="A38" s="143" t="s">
        <v>421</v>
      </c>
    </row>
    <row r="39" spans="1:31">
      <c r="F39" s="144"/>
      <c r="G39" s="144" t="s">
        <v>364</v>
      </c>
      <c r="H39" s="144" t="s">
        <v>212</v>
      </c>
      <c r="I39" s="144">
        <f t="shared" ref="I39:I63" si="0">COUNTIF(H$3:H$37,H39)</f>
        <v>1</v>
      </c>
      <c r="J39" s="145"/>
      <c r="L39" s="144" t="s">
        <v>364</v>
      </c>
      <c r="M39" s="144" t="s">
        <v>212</v>
      </c>
      <c r="N39" s="144">
        <f t="shared" ref="N39:N63" si="1">COUNTIF(M$3:M$37,M39)</f>
        <v>1</v>
      </c>
      <c r="O39" s="146"/>
      <c r="Q39" s="144" t="s">
        <v>364</v>
      </c>
      <c r="R39" s="144" t="s">
        <v>212</v>
      </c>
      <c r="S39" s="144">
        <f t="shared" ref="S39:S63" si="2">COUNTIF(R$3:R$37,R39)</f>
        <v>0</v>
      </c>
      <c r="T39" s="146"/>
      <c r="U39" s="146"/>
      <c r="V39" s="146"/>
      <c r="X39" s="144" t="s">
        <v>364</v>
      </c>
      <c r="Y39" s="144" t="s">
        <v>212</v>
      </c>
      <c r="Z39" s="144">
        <f t="shared" ref="Z39:Z63" si="3">COUNTIF(Y$3:Y$37,Y39)</f>
        <v>1</v>
      </c>
      <c r="AA39" s="146"/>
      <c r="AC39" s="144" t="s">
        <v>364</v>
      </c>
      <c r="AD39" s="192" t="s">
        <v>212</v>
      </c>
      <c r="AE39" s="144">
        <f t="shared" ref="AE39:AE63" si="4">COUNTIF(AD$3:AD$37,AD39)</f>
        <v>1</v>
      </c>
    </row>
    <row r="40" spans="1:31">
      <c r="F40" s="144"/>
      <c r="G40" s="144" t="s">
        <v>364</v>
      </c>
      <c r="H40" s="144" t="s">
        <v>80</v>
      </c>
      <c r="I40" s="144">
        <f t="shared" si="0"/>
        <v>1</v>
      </c>
      <c r="J40" s="145"/>
      <c r="L40" s="144" t="s">
        <v>364</v>
      </c>
      <c r="M40" s="144" t="s">
        <v>80</v>
      </c>
      <c r="N40" s="144">
        <f t="shared" si="1"/>
        <v>1</v>
      </c>
      <c r="O40" s="146"/>
      <c r="Q40" s="144" t="s">
        <v>364</v>
      </c>
      <c r="R40" s="144" t="s">
        <v>80</v>
      </c>
      <c r="S40" s="144">
        <f t="shared" si="2"/>
        <v>0</v>
      </c>
      <c r="T40" s="146"/>
      <c r="U40" s="146"/>
      <c r="V40" s="146"/>
      <c r="X40" s="144" t="s">
        <v>364</v>
      </c>
      <c r="Y40" s="144" t="s">
        <v>80</v>
      </c>
      <c r="Z40" s="144">
        <f t="shared" si="3"/>
        <v>1</v>
      </c>
      <c r="AA40" s="146"/>
      <c r="AC40" s="144" t="s">
        <v>364</v>
      </c>
      <c r="AD40" s="192" t="s">
        <v>80</v>
      </c>
      <c r="AE40" s="144">
        <f t="shared" si="4"/>
        <v>1</v>
      </c>
    </row>
    <row r="41" spans="1:31">
      <c r="F41" s="144"/>
      <c r="G41" s="144" t="s">
        <v>364</v>
      </c>
      <c r="H41" s="144" t="s">
        <v>59</v>
      </c>
      <c r="I41" s="144">
        <f t="shared" si="0"/>
        <v>1</v>
      </c>
      <c r="J41" s="145"/>
      <c r="L41" s="144" t="s">
        <v>364</v>
      </c>
      <c r="M41" s="144" t="s">
        <v>59</v>
      </c>
      <c r="N41" s="144">
        <f t="shared" si="1"/>
        <v>1</v>
      </c>
      <c r="O41" s="146"/>
      <c r="Q41" s="144" t="s">
        <v>364</v>
      </c>
      <c r="R41" s="144" t="s">
        <v>59</v>
      </c>
      <c r="S41" s="144">
        <f t="shared" si="2"/>
        <v>0</v>
      </c>
      <c r="T41" s="146"/>
      <c r="U41" s="146"/>
      <c r="V41" s="146"/>
      <c r="X41" s="144" t="s">
        <v>364</v>
      </c>
      <c r="Y41" s="144" t="s">
        <v>59</v>
      </c>
      <c r="Z41" s="144">
        <f t="shared" si="3"/>
        <v>1</v>
      </c>
      <c r="AA41" s="146"/>
      <c r="AC41" s="144" t="s">
        <v>364</v>
      </c>
      <c r="AD41" s="192" t="s">
        <v>59</v>
      </c>
      <c r="AE41" s="144">
        <f t="shared" si="4"/>
        <v>1</v>
      </c>
    </row>
    <row r="42" spans="1:31">
      <c r="F42" s="144"/>
      <c r="G42" s="144" t="s">
        <v>364</v>
      </c>
      <c r="H42" s="144" t="s">
        <v>365</v>
      </c>
      <c r="I42" s="144">
        <f t="shared" si="0"/>
        <v>1</v>
      </c>
      <c r="J42" s="145"/>
      <c r="L42" s="144" t="s">
        <v>364</v>
      </c>
      <c r="M42" s="144" t="s">
        <v>365</v>
      </c>
      <c r="N42" s="144">
        <f t="shared" si="1"/>
        <v>1</v>
      </c>
      <c r="O42" s="146"/>
      <c r="Q42" s="144" t="s">
        <v>364</v>
      </c>
      <c r="R42" s="144" t="s">
        <v>365</v>
      </c>
      <c r="S42" s="144">
        <f t="shared" si="2"/>
        <v>0</v>
      </c>
      <c r="T42" s="146"/>
      <c r="U42" s="146"/>
      <c r="V42" s="146"/>
      <c r="X42" s="144" t="s">
        <v>364</v>
      </c>
      <c r="Y42" s="144" t="s">
        <v>365</v>
      </c>
      <c r="Z42" s="144">
        <f t="shared" si="3"/>
        <v>1</v>
      </c>
      <c r="AA42" s="146"/>
      <c r="AC42" s="144" t="s">
        <v>364</v>
      </c>
      <c r="AD42" s="192" t="s">
        <v>365</v>
      </c>
      <c r="AE42" s="144">
        <f t="shared" si="4"/>
        <v>1</v>
      </c>
    </row>
    <row r="43" spans="1:31">
      <c r="F43" s="144"/>
      <c r="G43" s="144" t="s">
        <v>364</v>
      </c>
      <c r="H43" s="144" t="s">
        <v>173</v>
      </c>
      <c r="I43" s="144">
        <f t="shared" si="0"/>
        <v>0</v>
      </c>
      <c r="J43" s="145"/>
      <c r="L43" s="144" t="s">
        <v>364</v>
      </c>
      <c r="M43" s="144" t="s">
        <v>173</v>
      </c>
      <c r="N43" s="144">
        <f t="shared" si="1"/>
        <v>0</v>
      </c>
      <c r="O43" s="146"/>
      <c r="Q43" s="144" t="s">
        <v>364</v>
      </c>
      <c r="R43" s="144" t="s">
        <v>173</v>
      </c>
      <c r="S43" s="144">
        <f t="shared" si="2"/>
        <v>0</v>
      </c>
      <c r="T43" s="146"/>
      <c r="U43" s="146"/>
      <c r="V43" s="146"/>
      <c r="X43" s="144" t="s">
        <v>364</v>
      </c>
      <c r="Y43" s="144" t="s">
        <v>173</v>
      </c>
      <c r="Z43" s="144">
        <f t="shared" si="3"/>
        <v>1</v>
      </c>
      <c r="AA43" s="146"/>
      <c r="AC43" s="144" t="s">
        <v>364</v>
      </c>
      <c r="AD43" s="192" t="s">
        <v>173</v>
      </c>
      <c r="AE43" s="144">
        <f t="shared" si="4"/>
        <v>1</v>
      </c>
    </row>
    <row r="44" spans="1:31">
      <c r="F44" s="144"/>
      <c r="G44" s="144" t="s">
        <v>364</v>
      </c>
      <c r="H44" s="144" t="s">
        <v>72</v>
      </c>
      <c r="I44" s="144">
        <f t="shared" si="0"/>
        <v>1</v>
      </c>
      <c r="J44" s="145"/>
      <c r="L44" s="144" t="s">
        <v>364</v>
      </c>
      <c r="M44" s="144" t="s">
        <v>72</v>
      </c>
      <c r="N44" s="144">
        <f t="shared" si="1"/>
        <v>1</v>
      </c>
      <c r="O44" s="146"/>
      <c r="Q44" s="144" t="s">
        <v>364</v>
      </c>
      <c r="R44" s="144" t="s">
        <v>72</v>
      </c>
      <c r="S44" s="144">
        <f t="shared" si="2"/>
        <v>0</v>
      </c>
      <c r="T44" s="146"/>
      <c r="U44" s="146"/>
      <c r="V44" s="146"/>
      <c r="X44" s="144" t="s">
        <v>364</v>
      </c>
      <c r="Y44" s="144" t="s">
        <v>72</v>
      </c>
      <c r="Z44" s="144">
        <f t="shared" si="3"/>
        <v>1</v>
      </c>
      <c r="AA44" s="146"/>
      <c r="AC44" s="144" t="s">
        <v>364</v>
      </c>
      <c r="AD44" s="192" t="s">
        <v>72</v>
      </c>
      <c r="AE44" s="144">
        <f t="shared" si="4"/>
        <v>1</v>
      </c>
    </row>
    <row r="45" spans="1:31">
      <c r="F45" s="144"/>
      <c r="G45" s="144" t="s">
        <v>364</v>
      </c>
      <c r="H45" s="144" t="s">
        <v>304</v>
      </c>
      <c r="I45" s="144">
        <f t="shared" si="0"/>
        <v>0</v>
      </c>
      <c r="J45" s="145"/>
      <c r="L45" s="144" t="s">
        <v>364</v>
      </c>
      <c r="M45" s="144" t="s">
        <v>304</v>
      </c>
      <c r="N45" s="144">
        <f t="shared" si="1"/>
        <v>0</v>
      </c>
      <c r="O45" s="146"/>
      <c r="Q45" s="144" t="s">
        <v>364</v>
      </c>
      <c r="R45" s="144" t="s">
        <v>304</v>
      </c>
      <c r="S45" s="144">
        <f t="shared" si="2"/>
        <v>0</v>
      </c>
      <c r="T45" s="146"/>
      <c r="U45" s="146"/>
      <c r="V45" s="146"/>
      <c r="X45" s="144" t="s">
        <v>364</v>
      </c>
      <c r="Y45" s="144" t="s">
        <v>304</v>
      </c>
      <c r="Z45" s="144">
        <f t="shared" si="3"/>
        <v>0</v>
      </c>
      <c r="AA45" s="146"/>
      <c r="AC45" s="144" t="s">
        <v>364</v>
      </c>
      <c r="AD45" s="192" t="s">
        <v>304</v>
      </c>
      <c r="AE45" s="144">
        <f t="shared" si="4"/>
        <v>0</v>
      </c>
    </row>
    <row r="46" spans="1:31">
      <c r="F46" s="144"/>
      <c r="G46" s="144" t="s">
        <v>366</v>
      </c>
      <c r="H46" s="144" t="s">
        <v>175</v>
      </c>
      <c r="I46" s="144">
        <f t="shared" si="0"/>
        <v>0</v>
      </c>
      <c r="J46" s="145"/>
      <c r="L46" s="144" t="s">
        <v>366</v>
      </c>
      <c r="M46" s="144" t="s">
        <v>175</v>
      </c>
      <c r="N46" s="144">
        <f t="shared" si="1"/>
        <v>0</v>
      </c>
      <c r="O46" s="146"/>
      <c r="Q46" s="144" t="s">
        <v>366</v>
      </c>
      <c r="R46" s="144" t="s">
        <v>175</v>
      </c>
      <c r="S46" s="144">
        <f t="shared" si="2"/>
        <v>0</v>
      </c>
      <c r="T46" s="146"/>
      <c r="U46" s="146"/>
      <c r="V46" s="146"/>
      <c r="X46" s="144" t="s">
        <v>366</v>
      </c>
      <c r="Y46" s="144" t="s">
        <v>175</v>
      </c>
      <c r="Z46" s="144">
        <f t="shared" si="3"/>
        <v>1</v>
      </c>
      <c r="AA46" s="146"/>
      <c r="AC46" s="144" t="s">
        <v>366</v>
      </c>
      <c r="AD46" s="192" t="s">
        <v>175</v>
      </c>
      <c r="AE46" s="144">
        <f t="shared" si="4"/>
        <v>1</v>
      </c>
    </row>
    <row r="47" spans="1:31">
      <c r="F47" s="144"/>
      <c r="G47" s="144" t="s">
        <v>366</v>
      </c>
      <c r="H47" s="144" t="s">
        <v>188</v>
      </c>
      <c r="I47" s="144">
        <f t="shared" si="0"/>
        <v>1</v>
      </c>
      <c r="J47" s="145"/>
      <c r="L47" s="144" t="s">
        <v>366</v>
      </c>
      <c r="M47" s="144" t="s">
        <v>188</v>
      </c>
      <c r="N47" s="144">
        <f t="shared" si="1"/>
        <v>1</v>
      </c>
      <c r="O47" s="146"/>
      <c r="Q47" s="144" t="s">
        <v>366</v>
      </c>
      <c r="R47" s="144" t="s">
        <v>188</v>
      </c>
      <c r="S47" s="144">
        <f t="shared" si="2"/>
        <v>0</v>
      </c>
      <c r="T47" s="146"/>
      <c r="U47" s="146"/>
      <c r="V47" s="146"/>
      <c r="X47" s="144" t="s">
        <v>366</v>
      </c>
      <c r="Y47" s="144" t="s">
        <v>188</v>
      </c>
      <c r="Z47" s="144">
        <f t="shared" si="3"/>
        <v>1</v>
      </c>
      <c r="AA47" s="146"/>
      <c r="AC47" s="144" t="s">
        <v>366</v>
      </c>
      <c r="AD47" s="192" t="s">
        <v>188</v>
      </c>
      <c r="AE47" s="144">
        <f t="shared" si="4"/>
        <v>1</v>
      </c>
    </row>
    <row r="48" spans="1:31">
      <c r="F48" s="144"/>
      <c r="G48" s="144" t="s">
        <v>367</v>
      </c>
      <c r="H48" s="144" t="s">
        <v>368</v>
      </c>
      <c r="I48" s="144">
        <f t="shared" si="0"/>
        <v>0</v>
      </c>
      <c r="J48" s="145"/>
      <c r="L48" s="144" t="s">
        <v>367</v>
      </c>
      <c r="M48" s="144" t="s">
        <v>368</v>
      </c>
      <c r="N48" s="144">
        <f t="shared" si="1"/>
        <v>0</v>
      </c>
      <c r="O48" s="146"/>
      <c r="Q48" s="144" t="s">
        <v>367</v>
      </c>
      <c r="R48" s="144" t="s">
        <v>368</v>
      </c>
      <c r="S48" s="144">
        <f t="shared" si="2"/>
        <v>0</v>
      </c>
      <c r="T48" s="146"/>
      <c r="U48" s="146"/>
      <c r="V48" s="146"/>
      <c r="X48" s="144" t="s">
        <v>367</v>
      </c>
      <c r="Y48" s="144" t="s">
        <v>368</v>
      </c>
      <c r="Z48" s="144">
        <f t="shared" si="3"/>
        <v>0</v>
      </c>
      <c r="AA48" s="146"/>
      <c r="AC48" s="144" t="s">
        <v>367</v>
      </c>
      <c r="AD48" s="192" t="s">
        <v>368</v>
      </c>
      <c r="AE48" s="144">
        <f t="shared" si="4"/>
        <v>0</v>
      </c>
    </row>
    <row r="49" spans="6:31">
      <c r="F49" s="144"/>
      <c r="G49" s="144" t="s">
        <v>369</v>
      </c>
      <c r="H49" s="144" t="s">
        <v>268</v>
      </c>
      <c r="I49" s="144">
        <f t="shared" si="0"/>
        <v>1</v>
      </c>
      <c r="J49" s="145"/>
      <c r="L49" s="144" t="s">
        <v>369</v>
      </c>
      <c r="M49" s="144" t="s">
        <v>268</v>
      </c>
      <c r="N49" s="144">
        <f t="shared" si="1"/>
        <v>1</v>
      </c>
      <c r="O49" s="146"/>
      <c r="Q49" s="144" t="s">
        <v>369</v>
      </c>
      <c r="R49" s="144" t="s">
        <v>268</v>
      </c>
      <c r="S49" s="144">
        <f t="shared" si="2"/>
        <v>0</v>
      </c>
      <c r="T49" s="146"/>
      <c r="U49" s="146"/>
      <c r="V49" s="146"/>
      <c r="X49" s="144" t="s">
        <v>369</v>
      </c>
      <c r="Y49" s="144" t="s">
        <v>268</v>
      </c>
      <c r="Z49" s="144">
        <f t="shared" si="3"/>
        <v>1</v>
      </c>
      <c r="AA49" s="146"/>
      <c r="AC49" s="144" t="s">
        <v>369</v>
      </c>
      <c r="AD49" s="192" t="s">
        <v>268</v>
      </c>
      <c r="AE49" s="144">
        <f t="shared" si="4"/>
        <v>1</v>
      </c>
    </row>
    <row r="50" spans="6:31">
      <c r="F50" s="144"/>
      <c r="G50" s="144" t="s">
        <v>369</v>
      </c>
      <c r="H50" s="144" t="s">
        <v>370</v>
      </c>
      <c r="I50" s="144">
        <f t="shared" si="0"/>
        <v>0</v>
      </c>
      <c r="J50" s="145"/>
      <c r="L50" s="144" t="s">
        <v>369</v>
      </c>
      <c r="M50" s="144" t="s">
        <v>370</v>
      </c>
      <c r="N50" s="144">
        <f t="shared" si="1"/>
        <v>0</v>
      </c>
      <c r="O50" s="146"/>
      <c r="Q50" s="144" t="s">
        <v>369</v>
      </c>
      <c r="R50" s="144" t="s">
        <v>370</v>
      </c>
      <c r="S50" s="144">
        <f t="shared" si="2"/>
        <v>0</v>
      </c>
      <c r="T50" s="146"/>
      <c r="U50" s="146"/>
      <c r="V50" s="146"/>
      <c r="X50" s="144" t="s">
        <v>369</v>
      </c>
      <c r="Y50" s="144" t="s">
        <v>370</v>
      </c>
      <c r="Z50" s="144">
        <f t="shared" si="3"/>
        <v>0</v>
      </c>
      <c r="AA50" s="146"/>
      <c r="AC50" s="144" t="s">
        <v>369</v>
      </c>
      <c r="AD50" s="192" t="s">
        <v>370</v>
      </c>
      <c r="AE50" s="144">
        <f t="shared" si="4"/>
        <v>0</v>
      </c>
    </row>
    <row r="51" spans="6:31">
      <c r="F51" s="144"/>
      <c r="G51" s="144" t="s">
        <v>371</v>
      </c>
      <c r="H51" s="144" t="s">
        <v>372</v>
      </c>
      <c r="I51" s="144">
        <f t="shared" si="0"/>
        <v>0</v>
      </c>
      <c r="J51" s="145"/>
      <c r="L51" s="144" t="s">
        <v>371</v>
      </c>
      <c r="M51" s="144" t="s">
        <v>372</v>
      </c>
      <c r="N51" s="144">
        <f t="shared" si="1"/>
        <v>0</v>
      </c>
      <c r="O51" s="146"/>
      <c r="Q51" s="144" t="s">
        <v>371</v>
      </c>
      <c r="R51" s="144" t="s">
        <v>372</v>
      </c>
      <c r="S51" s="144">
        <f t="shared" si="2"/>
        <v>0</v>
      </c>
      <c r="T51" s="146"/>
      <c r="U51" s="146"/>
      <c r="V51" s="146"/>
      <c r="X51" s="144" t="s">
        <v>371</v>
      </c>
      <c r="Y51" s="144" t="s">
        <v>372</v>
      </c>
      <c r="Z51" s="144">
        <f t="shared" si="3"/>
        <v>0</v>
      </c>
      <c r="AA51" s="146"/>
      <c r="AC51" s="144" t="s">
        <v>371</v>
      </c>
      <c r="AD51" s="192" t="s">
        <v>372</v>
      </c>
      <c r="AE51" s="144">
        <f t="shared" si="4"/>
        <v>0</v>
      </c>
    </row>
    <row r="52" spans="6:31">
      <c r="F52" s="144"/>
      <c r="G52" s="144" t="s">
        <v>371</v>
      </c>
      <c r="H52" s="144" t="s">
        <v>373</v>
      </c>
      <c r="I52" s="144">
        <f t="shared" si="0"/>
        <v>1</v>
      </c>
      <c r="L52" s="144" t="s">
        <v>371</v>
      </c>
      <c r="M52" s="144" t="s">
        <v>373</v>
      </c>
      <c r="N52" s="144">
        <f t="shared" si="1"/>
        <v>1</v>
      </c>
      <c r="Q52" s="144" t="s">
        <v>371</v>
      </c>
      <c r="R52" s="144" t="s">
        <v>373</v>
      </c>
      <c r="S52" s="144">
        <f t="shared" si="2"/>
        <v>0</v>
      </c>
      <c r="X52" s="144" t="s">
        <v>371</v>
      </c>
      <c r="Y52" s="144" t="s">
        <v>373</v>
      </c>
      <c r="Z52" s="144">
        <f t="shared" si="3"/>
        <v>1</v>
      </c>
      <c r="AC52" s="144" t="s">
        <v>371</v>
      </c>
      <c r="AD52" s="192" t="s">
        <v>373</v>
      </c>
      <c r="AE52" s="144">
        <f t="shared" si="4"/>
        <v>1</v>
      </c>
    </row>
    <row r="53" spans="6:31">
      <c r="F53" s="144"/>
      <c r="G53" s="144" t="s">
        <v>371</v>
      </c>
      <c r="H53" s="144" t="s">
        <v>105</v>
      </c>
      <c r="I53" s="144">
        <f t="shared" si="0"/>
        <v>1</v>
      </c>
      <c r="L53" s="144" t="s">
        <v>371</v>
      </c>
      <c r="M53" s="144" t="s">
        <v>105</v>
      </c>
      <c r="N53" s="144">
        <f t="shared" si="1"/>
        <v>1</v>
      </c>
      <c r="Q53" s="144" t="s">
        <v>371</v>
      </c>
      <c r="R53" s="144" t="s">
        <v>105</v>
      </c>
      <c r="S53" s="144">
        <f t="shared" si="2"/>
        <v>0</v>
      </c>
      <c r="X53" s="144" t="s">
        <v>371</v>
      </c>
      <c r="Y53" s="144" t="s">
        <v>105</v>
      </c>
      <c r="Z53" s="144">
        <f t="shared" si="3"/>
        <v>1</v>
      </c>
      <c r="AC53" s="144" t="s">
        <v>371</v>
      </c>
      <c r="AD53" s="192" t="s">
        <v>105</v>
      </c>
      <c r="AE53" s="144">
        <f t="shared" si="4"/>
        <v>1</v>
      </c>
    </row>
    <row r="54" spans="6:31">
      <c r="F54" s="144"/>
      <c r="G54" s="144" t="s">
        <v>371</v>
      </c>
      <c r="H54" s="144" t="s">
        <v>374</v>
      </c>
      <c r="I54" s="144">
        <f t="shared" si="0"/>
        <v>1</v>
      </c>
      <c r="L54" s="144" t="s">
        <v>371</v>
      </c>
      <c r="M54" s="144" t="s">
        <v>374</v>
      </c>
      <c r="N54" s="144">
        <f t="shared" si="1"/>
        <v>1</v>
      </c>
      <c r="Q54" s="144" t="s">
        <v>371</v>
      </c>
      <c r="R54" s="144" t="s">
        <v>374</v>
      </c>
      <c r="S54" s="144">
        <f t="shared" si="2"/>
        <v>0</v>
      </c>
      <c r="X54" s="144" t="s">
        <v>371</v>
      </c>
      <c r="Y54" s="144" t="s">
        <v>374</v>
      </c>
      <c r="Z54" s="144">
        <f t="shared" si="3"/>
        <v>1</v>
      </c>
      <c r="AC54" s="144" t="s">
        <v>371</v>
      </c>
      <c r="AD54" s="192" t="s">
        <v>374</v>
      </c>
      <c r="AE54" s="144">
        <f t="shared" si="4"/>
        <v>1</v>
      </c>
    </row>
    <row r="55" spans="6:31">
      <c r="F55" s="144"/>
      <c r="G55" s="144" t="s">
        <v>371</v>
      </c>
      <c r="H55" s="144" t="s">
        <v>100</v>
      </c>
      <c r="I55" s="144">
        <f t="shared" si="0"/>
        <v>0</v>
      </c>
      <c r="L55" s="144" t="s">
        <v>371</v>
      </c>
      <c r="M55" s="144" t="s">
        <v>100</v>
      </c>
      <c r="N55" s="144">
        <f t="shared" si="1"/>
        <v>0</v>
      </c>
      <c r="Q55" s="144" t="s">
        <v>371</v>
      </c>
      <c r="R55" s="144" t="s">
        <v>100</v>
      </c>
      <c r="S55" s="144">
        <f t="shared" si="2"/>
        <v>0</v>
      </c>
      <c r="X55" s="144" t="s">
        <v>371</v>
      </c>
      <c r="Y55" s="144" t="s">
        <v>100</v>
      </c>
      <c r="Z55" s="144">
        <f t="shared" si="3"/>
        <v>0</v>
      </c>
      <c r="AC55" s="144" t="s">
        <v>371</v>
      </c>
      <c r="AD55" s="192" t="s">
        <v>100</v>
      </c>
      <c r="AE55" s="144">
        <f t="shared" si="4"/>
        <v>0</v>
      </c>
    </row>
    <row r="56" spans="6:31">
      <c r="F56" s="144"/>
      <c r="G56" s="144" t="s">
        <v>371</v>
      </c>
      <c r="H56" s="144" t="s">
        <v>375</v>
      </c>
      <c r="I56" s="144">
        <f t="shared" si="0"/>
        <v>1</v>
      </c>
      <c r="L56" s="144" t="s">
        <v>371</v>
      </c>
      <c r="M56" s="144" t="s">
        <v>375</v>
      </c>
      <c r="N56" s="144">
        <f t="shared" si="1"/>
        <v>1</v>
      </c>
      <c r="Q56" s="144" t="s">
        <v>371</v>
      </c>
      <c r="R56" s="144" t="s">
        <v>375</v>
      </c>
      <c r="S56" s="144">
        <f t="shared" si="2"/>
        <v>0</v>
      </c>
      <c r="X56" s="144" t="s">
        <v>371</v>
      </c>
      <c r="Y56" s="144" t="s">
        <v>375</v>
      </c>
      <c r="Z56" s="144">
        <f t="shared" si="3"/>
        <v>0</v>
      </c>
      <c r="AC56" s="144" t="s">
        <v>371</v>
      </c>
      <c r="AD56" s="192" t="s">
        <v>375</v>
      </c>
      <c r="AE56" s="144">
        <f t="shared" si="4"/>
        <v>0</v>
      </c>
    </row>
    <row r="57" spans="6:31">
      <c r="F57" s="144"/>
      <c r="G57" s="144" t="s">
        <v>371</v>
      </c>
      <c r="H57" s="144" t="s">
        <v>110</v>
      </c>
      <c r="I57" s="144">
        <f t="shared" si="0"/>
        <v>0</v>
      </c>
      <c r="L57" s="144" t="s">
        <v>371</v>
      </c>
      <c r="M57" s="144" t="s">
        <v>110</v>
      </c>
      <c r="N57" s="144">
        <f t="shared" si="1"/>
        <v>0</v>
      </c>
      <c r="Q57" s="144" t="s">
        <v>371</v>
      </c>
      <c r="R57" s="144" t="s">
        <v>110</v>
      </c>
      <c r="S57" s="144">
        <f t="shared" si="2"/>
        <v>0</v>
      </c>
      <c r="X57" s="144" t="s">
        <v>371</v>
      </c>
      <c r="Y57" s="144" t="s">
        <v>110</v>
      </c>
      <c r="Z57" s="144">
        <f t="shared" si="3"/>
        <v>0</v>
      </c>
      <c r="AC57" s="144" t="s">
        <v>371</v>
      </c>
      <c r="AD57" s="192" t="s">
        <v>110</v>
      </c>
      <c r="AE57" s="144">
        <f t="shared" si="4"/>
        <v>0</v>
      </c>
    </row>
    <row r="58" spans="6:31">
      <c r="F58" s="144"/>
      <c r="G58" s="144" t="s">
        <v>376</v>
      </c>
      <c r="H58" s="144" t="s">
        <v>220</v>
      </c>
      <c r="I58" s="144">
        <f t="shared" si="0"/>
        <v>1</v>
      </c>
      <c r="L58" s="144" t="s">
        <v>376</v>
      </c>
      <c r="M58" s="144" t="s">
        <v>220</v>
      </c>
      <c r="N58" s="144">
        <f t="shared" si="1"/>
        <v>1</v>
      </c>
      <c r="Q58" s="144" t="s">
        <v>376</v>
      </c>
      <c r="R58" s="144" t="s">
        <v>220</v>
      </c>
      <c r="S58" s="144">
        <f t="shared" si="2"/>
        <v>0</v>
      </c>
      <c r="X58" s="144" t="s">
        <v>376</v>
      </c>
      <c r="Y58" s="144" t="s">
        <v>220</v>
      </c>
      <c r="Z58" s="144">
        <f t="shared" si="3"/>
        <v>1</v>
      </c>
      <c r="AC58" s="144" t="s">
        <v>376</v>
      </c>
      <c r="AD58" s="192" t="s">
        <v>220</v>
      </c>
      <c r="AE58" s="144">
        <f t="shared" si="4"/>
        <v>1</v>
      </c>
    </row>
    <row r="59" spans="6:31">
      <c r="F59" s="144"/>
      <c r="G59" s="144" t="s">
        <v>376</v>
      </c>
      <c r="H59" s="144" t="s">
        <v>217</v>
      </c>
      <c r="I59" s="144">
        <f t="shared" si="0"/>
        <v>0</v>
      </c>
      <c r="L59" s="144" t="s">
        <v>376</v>
      </c>
      <c r="M59" s="144" t="s">
        <v>217</v>
      </c>
      <c r="N59" s="144">
        <f t="shared" si="1"/>
        <v>0</v>
      </c>
      <c r="Q59" s="144" t="s">
        <v>376</v>
      </c>
      <c r="R59" s="144" t="s">
        <v>217</v>
      </c>
      <c r="S59" s="144">
        <f t="shared" si="2"/>
        <v>0</v>
      </c>
      <c r="X59" s="144" t="s">
        <v>376</v>
      </c>
      <c r="Y59" s="144" t="s">
        <v>217</v>
      </c>
      <c r="Z59" s="144">
        <f t="shared" si="3"/>
        <v>0</v>
      </c>
      <c r="AC59" s="144" t="s">
        <v>376</v>
      </c>
      <c r="AD59" s="192" t="s">
        <v>217</v>
      </c>
      <c r="AE59" s="144">
        <f t="shared" si="4"/>
        <v>0</v>
      </c>
    </row>
    <row r="60" spans="6:31">
      <c r="F60" s="144"/>
      <c r="G60" s="144" t="s">
        <v>376</v>
      </c>
      <c r="H60" s="144" t="s">
        <v>218</v>
      </c>
      <c r="I60" s="144">
        <f t="shared" si="0"/>
        <v>1</v>
      </c>
      <c r="L60" s="144" t="s">
        <v>376</v>
      </c>
      <c r="M60" s="144" t="s">
        <v>218</v>
      </c>
      <c r="N60" s="144">
        <f t="shared" si="1"/>
        <v>1</v>
      </c>
      <c r="Q60" s="144" t="s">
        <v>376</v>
      </c>
      <c r="R60" s="144" t="s">
        <v>218</v>
      </c>
      <c r="S60" s="144">
        <f t="shared" si="2"/>
        <v>0</v>
      </c>
      <c r="X60" s="144" t="s">
        <v>376</v>
      </c>
      <c r="Y60" s="144" t="s">
        <v>218</v>
      </c>
      <c r="Z60" s="144">
        <f t="shared" si="3"/>
        <v>1</v>
      </c>
      <c r="AC60" s="144" t="s">
        <v>376</v>
      </c>
      <c r="AD60" s="192" t="s">
        <v>218</v>
      </c>
      <c r="AE60" s="144">
        <f t="shared" si="4"/>
        <v>0</v>
      </c>
    </row>
    <row r="61" spans="6:31">
      <c r="F61" s="144"/>
      <c r="G61" s="144" t="s">
        <v>376</v>
      </c>
      <c r="H61" s="144" t="s">
        <v>159</v>
      </c>
      <c r="I61" s="144">
        <f t="shared" si="0"/>
        <v>2</v>
      </c>
      <c r="L61" s="144" t="s">
        <v>376</v>
      </c>
      <c r="M61" s="144" t="s">
        <v>159</v>
      </c>
      <c r="N61" s="144">
        <f t="shared" si="1"/>
        <v>2</v>
      </c>
      <c r="Q61" s="144" t="s">
        <v>376</v>
      </c>
      <c r="R61" s="144" t="s">
        <v>159</v>
      </c>
      <c r="S61" s="144">
        <f t="shared" si="2"/>
        <v>0</v>
      </c>
      <c r="X61" s="144" t="s">
        <v>376</v>
      </c>
      <c r="Y61" s="144" t="s">
        <v>159</v>
      </c>
      <c r="Z61" s="144">
        <f t="shared" si="3"/>
        <v>0</v>
      </c>
      <c r="AC61" s="144" t="s">
        <v>376</v>
      </c>
      <c r="AD61" s="192" t="s">
        <v>159</v>
      </c>
      <c r="AE61" s="144">
        <f t="shared" si="4"/>
        <v>0</v>
      </c>
    </row>
    <row r="62" spans="6:31">
      <c r="F62" s="144"/>
      <c r="G62" s="144" t="s">
        <v>376</v>
      </c>
      <c r="H62" s="144" t="s">
        <v>219</v>
      </c>
      <c r="I62" s="144">
        <f t="shared" si="0"/>
        <v>0</v>
      </c>
      <c r="L62" s="144" t="s">
        <v>376</v>
      </c>
      <c r="M62" s="144" t="s">
        <v>219</v>
      </c>
      <c r="N62" s="144">
        <f t="shared" si="1"/>
        <v>1</v>
      </c>
      <c r="Q62" s="144" t="s">
        <v>376</v>
      </c>
      <c r="R62" s="144" t="s">
        <v>219</v>
      </c>
      <c r="S62" s="144">
        <f t="shared" si="2"/>
        <v>0</v>
      </c>
      <c r="X62" s="144" t="s">
        <v>376</v>
      </c>
      <c r="Y62" s="144" t="s">
        <v>219</v>
      </c>
      <c r="Z62" s="144">
        <f t="shared" si="3"/>
        <v>1</v>
      </c>
      <c r="AC62" s="144" t="s">
        <v>376</v>
      </c>
      <c r="AD62" s="192" t="s">
        <v>219</v>
      </c>
      <c r="AE62" s="144">
        <f t="shared" si="4"/>
        <v>1</v>
      </c>
    </row>
    <row r="63" spans="6:31">
      <c r="F63" s="144"/>
      <c r="G63" s="144" t="s">
        <v>376</v>
      </c>
      <c r="H63" s="144" t="s">
        <v>422</v>
      </c>
      <c r="I63" s="144">
        <f t="shared" si="0"/>
        <v>0</v>
      </c>
      <c r="L63" s="144" t="s">
        <v>376</v>
      </c>
      <c r="M63" s="144" t="s">
        <v>422</v>
      </c>
      <c r="N63" s="144">
        <f t="shared" si="1"/>
        <v>0</v>
      </c>
      <c r="Q63" s="144" t="s">
        <v>376</v>
      </c>
      <c r="R63" s="144" t="s">
        <v>422</v>
      </c>
      <c r="S63" s="144">
        <f t="shared" si="2"/>
        <v>0</v>
      </c>
      <c r="X63" s="144" t="s">
        <v>376</v>
      </c>
      <c r="Y63" s="144" t="s">
        <v>422</v>
      </c>
      <c r="Z63" s="144">
        <f t="shared" si="3"/>
        <v>0</v>
      </c>
      <c r="AC63" s="144" t="s">
        <v>376</v>
      </c>
      <c r="AD63" s="192" t="s">
        <v>422</v>
      </c>
      <c r="AE63" s="144">
        <f t="shared" si="4"/>
        <v>0</v>
      </c>
    </row>
    <row r="64" spans="6:31">
      <c r="F64" s="144"/>
      <c r="G64" s="144"/>
      <c r="H64" s="144"/>
      <c r="I64" s="144"/>
      <c r="L64" s="144"/>
      <c r="M64" s="144"/>
      <c r="N64" s="144"/>
      <c r="Q64" s="144"/>
      <c r="R64" s="144"/>
      <c r="S64" s="144"/>
      <c r="X64" s="144"/>
      <c r="Y64" s="144"/>
      <c r="Z64" s="144"/>
      <c r="AC64" s="144"/>
      <c r="AD64" s="192"/>
      <c r="AE64" s="144"/>
    </row>
    <row r="66" spans="5:27">
      <c r="E66" s="146"/>
      <c r="J66" s="146"/>
      <c r="O66" s="146"/>
      <c r="V66" s="146"/>
      <c r="AA66" s="146"/>
    </row>
    <row r="67" spans="5:27">
      <c r="E67" s="146"/>
      <c r="J67" s="146"/>
      <c r="O67" s="146"/>
      <c r="V67" s="146"/>
      <c r="AA67" s="146"/>
    </row>
    <row r="68" spans="5:27">
      <c r="E68" s="146"/>
      <c r="J68" s="146"/>
      <c r="O68" s="146"/>
      <c r="V68" s="146"/>
      <c r="AA68" s="146"/>
    </row>
    <row r="69" spans="5:27">
      <c r="E69" s="146"/>
      <c r="J69" s="146"/>
      <c r="O69" s="146"/>
      <c r="V69" s="146"/>
      <c r="AA69" s="146"/>
    </row>
    <row r="70" spans="5:27">
      <c r="E70" s="146"/>
      <c r="J70" s="146"/>
      <c r="O70" s="146"/>
      <c r="V70" s="146"/>
      <c r="AA70" s="146"/>
    </row>
    <row r="71" spans="5:27">
      <c r="E71" s="146"/>
      <c r="J71" s="146"/>
      <c r="O71" s="146"/>
      <c r="V71" s="146"/>
      <c r="AA71" s="146"/>
    </row>
    <row r="72" spans="5:27">
      <c r="E72" s="146"/>
      <c r="J72" s="146"/>
      <c r="O72" s="146"/>
      <c r="V72" s="146"/>
      <c r="AA72" s="146"/>
    </row>
    <row r="73" spans="5:27">
      <c r="E73" s="146"/>
      <c r="J73" s="146"/>
      <c r="O73" s="146"/>
      <c r="V73" s="146"/>
      <c r="AA73" s="146"/>
    </row>
    <row r="74" spans="5:27">
      <c r="E74" s="146"/>
      <c r="J74" s="146"/>
      <c r="O74" s="146"/>
      <c r="V74" s="146"/>
      <c r="AA74" s="146"/>
    </row>
    <row r="75" spans="5:27">
      <c r="E75" s="146"/>
      <c r="J75" s="146"/>
      <c r="O75" s="146"/>
      <c r="V75" s="146"/>
      <c r="AA75" s="146"/>
    </row>
    <row r="76" spans="5:27">
      <c r="E76" s="146"/>
      <c r="J76" s="146"/>
      <c r="O76" s="146"/>
      <c r="V76" s="146"/>
      <c r="AA76" s="146"/>
    </row>
    <row r="77" spans="5:27">
      <c r="E77" s="146"/>
      <c r="J77" s="146"/>
      <c r="O77" s="146"/>
      <c r="V77" s="146"/>
      <c r="AA77" s="146"/>
    </row>
    <row r="78" spans="5:27">
      <c r="E78" s="146"/>
      <c r="J78" s="146"/>
      <c r="O78" s="146"/>
      <c r="V78" s="146"/>
      <c r="AA78" s="146"/>
    </row>
    <row r="79" spans="5:27">
      <c r="E79" s="146"/>
      <c r="J79" s="146"/>
      <c r="O79" s="146"/>
      <c r="V79" s="146"/>
      <c r="AA79" s="146"/>
    </row>
    <row r="80" spans="5:27">
      <c r="E80" s="146"/>
      <c r="J80" s="146"/>
      <c r="O80" s="146"/>
      <c r="V80" s="146"/>
      <c r="AA80" s="146"/>
    </row>
    <row r="81" spans="5:27">
      <c r="E81" s="146"/>
      <c r="J81" s="146"/>
      <c r="O81" s="146"/>
      <c r="V81" s="146"/>
      <c r="AA81" s="146"/>
    </row>
    <row r="82" spans="5:27">
      <c r="E82" s="146"/>
      <c r="J82" s="146"/>
      <c r="O82" s="146"/>
      <c r="V82" s="146"/>
      <c r="AA82" s="146"/>
    </row>
    <row r="83" spans="5:27">
      <c r="E83" s="146"/>
      <c r="J83" s="146"/>
      <c r="O83" s="146"/>
      <c r="V83" s="146"/>
      <c r="AA83" s="146"/>
    </row>
    <row r="84" spans="5:27">
      <c r="E84" s="146"/>
      <c r="J84" s="146"/>
      <c r="O84" s="146"/>
      <c r="V84" s="146"/>
      <c r="AA84" s="146"/>
    </row>
    <row r="85" spans="5:27">
      <c r="E85" s="146"/>
      <c r="J85" s="146"/>
      <c r="O85" s="146"/>
      <c r="V85" s="146"/>
      <c r="AA85" s="146"/>
    </row>
    <row r="86" spans="5:27">
      <c r="E86" s="146"/>
      <c r="J86" s="146"/>
      <c r="O86" s="146"/>
      <c r="V86" s="146"/>
      <c r="AA86" s="146"/>
    </row>
    <row r="87" spans="5:27">
      <c r="E87" s="146"/>
      <c r="J87" s="146"/>
      <c r="O87" s="146"/>
      <c r="V87" s="146"/>
      <c r="AA87" s="146"/>
    </row>
    <row r="88" spans="5:27">
      <c r="E88" s="146"/>
      <c r="J88" s="146"/>
      <c r="O88" s="146"/>
      <c r="V88" s="146"/>
      <c r="AA88" s="146"/>
    </row>
    <row r="89" spans="5:27">
      <c r="E89" s="146"/>
      <c r="J89" s="146"/>
      <c r="O89" s="146"/>
      <c r="V89" s="146"/>
      <c r="AA89" s="146"/>
    </row>
    <row r="90" spans="5:27">
      <c r="E90" s="146"/>
      <c r="J90" s="146"/>
      <c r="O90" s="146"/>
      <c r="V90" s="146"/>
      <c r="AA90" s="146"/>
    </row>
    <row r="91" spans="5:27">
      <c r="E91" s="146"/>
      <c r="J91" s="146"/>
      <c r="O91" s="146"/>
      <c r="V91" s="146"/>
      <c r="AA91" s="146"/>
    </row>
    <row r="92" spans="5:27">
      <c r="E92" s="146"/>
      <c r="J92" s="146"/>
      <c r="O92" s="146"/>
      <c r="V92" s="146"/>
      <c r="AA92" s="146"/>
    </row>
    <row r="93" spans="5:27">
      <c r="E93" s="146"/>
      <c r="J93" s="146"/>
      <c r="O93" s="146"/>
      <c r="V93" s="146"/>
      <c r="AA93" s="146"/>
    </row>
    <row r="94" spans="5:27">
      <c r="E94" s="146"/>
      <c r="J94" s="146"/>
      <c r="O94" s="146"/>
      <c r="V94" s="146"/>
      <c r="AA94" s="146"/>
    </row>
    <row r="95" spans="5:27">
      <c r="E95" s="146"/>
      <c r="J95" s="146"/>
      <c r="O95" s="146"/>
      <c r="V95" s="146"/>
      <c r="AA95" s="146"/>
    </row>
    <row r="96" spans="5:27">
      <c r="E96" s="146"/>
      <c r="J96" s="146"/>
      <c r="O96" s="146"/>
      <c r="V96" s="146"/>
      <c r="AA96" s="146"/>
    </row>
    <row r="97" spans="5:27">
      <c r="E97" s="146"/>
      <c r="J97" s="146"/>
      <c r="O97" s="146"/>
      <c r="V97" s="146"/>
      <c r="AA97" s="146"/>
    </row>
    <row r="98" spans="5:27">
      <c r="E98" s="146"/>
      <c r="J98" s="146"/>
      <c r="O98" s="146"/>
      <c r="V98" s="146"/>
      <c r="AA98" s="146"/>
    </row>
  </sheetData>
  <phoneticPr fontId="2" type="noConversion"/>
  <conditionalFormatting sqref="F67:F98">
    <cfRule type="duplicateValues" dxfId="7" priority="6"/>
  </conditionalFormatting>
  <conditionalFormatting sqref="I39:I63">
    <cfRule type="cellIs" priority="1" operator="greaterThanOrEqual">
      <formula>2</formula>
    </cfRule>
  </conditionalFormatting>
  <conditionalFormatting sqref="K67:K98">
    <cfRule type="duplicateValues" dxfId="6" priority="5"/>
  </conditionalFormatting>
  <conditionalFormatting sqref="P67:P98">
    <cfRule type="duplicateValues" dxfId="5" priority="4"/>
  </conditionalFormatting>
  <conditionalFormatting sqref="W67:W98">
    <cfRule type="duplicateValues" dxfId="4" priority="3"/>
  </conditionalFormatting>
  <conditionalFormatting sqref="AB67:AB98">
    <cfRule type="duplicateValues" dxfId="3" priority="2"/>
  </conditionalFormatting>
  <pageMargins left="0.23622047244094491" right="0.23622047244094491" top="0.74803149606299213" bottom="0.74803149606299213" header="0.31496062992125984" footer="0.31496062992125984"/>
  <pageSetup paperSize="8" scale="59" fitToHeight="0" orientation="landscape" r:id="rId1"/>
  <headerFooter>
    <oddHeader>&amp;LTuesday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728CD-5A90-4F3D-9EAA-CB8D73E6F127}">
  <sheetPr>
    <tabColor theme="9" tint="0.59999389629810485"/>
    <pageSetUpPr fitToPage="1"/>
  </sheetPr>
  <dimension ref="A1:AE97"/>
  <sheetViews>
    <sheetView zoomScale="85" zoomScaleNormal="85" workbookViewId="0">
      <pane xSplit="3" ySplit="2" topLeftCell="D3" activePane="bottomRight" state="frozen"/>
      <selection activeCell="H26" sqref="H26"/>
      <selection pane="topRight" activeCell="H26" sqref="H26"/>
      <selection pane="bottomLeft" activeCell="H26" sqref="H26"/>
      <selection pane="bottomRight" activeCell="U28" sqref="U28"/>
    </sheetView>
  </sheetViews>
  <sheetFormatPr defaultRowHeight="16.5"/>
  <cols>
    <col min="3" max="3" width="5.125" bestFit="1" customWidth="1"/>
    <col min="4" max="5" width="11.875" bestFit="1" customWidth="1"/>
    <col min="8" max="8" width="15" style="147" bestFit="1" customWidth="1"/>
    <col min="9" max="9" width="11" bestFit="1" customWidth="1"/>
    <col min="10" max="10" width="11.875" bestFit="1" customWidth="1"/>
    <col min="13" max="13" width="15" style="147" bestFit="1" customWidth="1"/>
    <col min="14" max="14" width="10.375" bestFit="1" customWidth="1"/>
    <col min="15" max="15" width="12.125" bestFit="1" customWidth="1"/>
    <col min="20" max="20" width="4.625" customWidth="1"/>
    <col min="21" max="21" width="16.875" customWidth="1"/>
    <col min="22" max="22" width="11.875" bestFit="1" customWidth="1"/>
    <col min="25" max="25" width="15" style="147" bestFit="1" customWidth="1"/>
    <col min="26" max="26" width="9.875" bestFit="1" customWidth="1"/>
    <col min="27" max="27" width="13" bestFit="1" customWidth="1"/>
    <col min="28" max="28" width="11.875" bestFit="1" customWidth="1"/>
    <col min="30" max="30" width="16.25" style="147" bestFit="1" customWidth="1"/>
    <col min="31" max="31" width="15" bestFit="1" customWidth="1"/>
  </cols>
  <sheetData>
    <row r="1" spans="1:31">
      <c r="A1" s="133" t="s">
        <v>306</v>
      </c>
      <c r="B1" s="133"/>
      <c r="C1" s="193"/>
      <c r="D1" s="38"/>
      <c r="E1" s="39" t="s">
        <v>307</v>
      </c>
      <c r="F1" s="36"/>
      <c r="G1" s="36"/>
      <c r="H1" s="40"/>
      <c r="I1" s="41"/>
      <c r="J1" s="39" t="s">
        <v>308</v>
      </c>
      <c r="K1" s="36"/>
      <c r="L1" s="36"/>
      <c r="M1" s="40"/>
      <c r="N1" s="41"/>
      <c r="O1" s="39" t="s">
        <v>309</v>
      </c>
      <c r="P1" s="36"/>
      <c r="Q1" s="36"/>
      <c r="R1" s="36"/>
      <c r="S1" s="37"/>
      <c r="T1" s="39"/>
      <c r="U1" s="194"/>
      <c r="V1" s="148">
        <v>1400</v>
      </c>
      <c r="W1" s="36"/>
      <c r="X1" s="36"/>
      <c r="Y1" s="40"/>
      <c r="Z1" s="41"/>
      <c r="AA1" s="39">
        <v>1600</v>
      </c>
      <c r="AB1" s="36"/>
      <c r="AC1" s="36"/>
      <c r="AD1" s="40"/>
      <c r="AE1" s="41"/>
    </row>
    <row r="2" spans="1:31" ht="17.25" thickBot="1">
      <c r="A2" s="49" t="s">
        <v>312</v>
      </c>
      <c r="B2" s="49" t="s">
        <v>313</v>
      </c>
      <c r="C2" s="50" t="s">
        <v>314</v>
      </c>
      <c r="D2" s="195"/>
      <c r="E2" s="48" t="s">
        <v>315</v>
      </c>
      <c r="F2" s="49" t="s">
        <v>316</v>
      </c>
      <c r="G2" s="49" t="s">
        <v>317</v>
      </c>
      <c r="H2" s="52" t="s">
        <v>318</v>
      </c>
      <c r="I2" s="53" t="s">
        <v>283</v>
      </c>
      <c r="J2" s="48" t="s">
        <v>315</v>
      </c>
      <c r="K2" s="49" t="s">
        <v>316</v>
      </c>
      <c r="L2" s="49" t="s">
        <v>317</v>
      </c>
      <c r="M2" s="52" t="s">
        <v>318</v>
      </c>
      <c r="N2" s="53" t="s">
        <v>283</v>
      </c>
      <c r="O2" s="48" t="s">
        <v>315</v>
      </c>
      <c r="P2" s="49" t="s">
        <v>316</v>
      </c>
      <c r="Q2" s="49" t="s">
        <v>317</v>
      </c>
      <c r="R2" s="49" t="s">
        <v>318</v>
      </c>
      <c r="S2" s="50" t="s">
        <v>283</v>
      </c>
      <c r="T2" s="48"/>
      <c r="U2" s="53"/>
      <c r="V2" s="152" t="s">
        <v>315</v>
      </c>
      <c r="W2" s="49" t="s">
        <v>316</v>
      </c>
      <c r="X2" s="49" t="s">
        <v>317</v>
      </c>
      <c r="Y2" s="52" t="s">
        <v>318</v>
      </c>
      <c r="Z2" s="53" t="s">
        <v>283</v>
      </c>
      <c r="AA2" s="48" t="s">
        <v>315</v>
      </c>
      <c r="AB2" s="49" t="s">
        <v>316</v>
      </c>
      <c r="AC2" s="49" t="s">
        <v>317</v>
      </c>
      <c r="AD2" s="52" t="s">
        <v>318</v>
      </c>
      <c r="AE2" s="53" t="s">
        <v>283</v>
      </c>
    </row>
    <row r="3" spans="1:31">
      <c r="A3" s="133" t="s">
        <v>0</v>
      </c>
      <c r="B3" s="1">
        <v>44</v>
      </c>
      <c r="C3" s="6">
        <v>48</v>
      </c>
      <c r="D3" s="196"/>
      <c r="E3" s="66"/>
      <c r="F3" s="1">
        <v>0</v>
      </c>
      <c r="G3" s="1">
        <v>0</v>
      </c>
      <c r="H3" s="60">
        <v>0</v>
      </c>
      <c r="I3" s="83"/>
      <c r="J3" s="66" t="s">
        <v>423</v>
      </c>
      <c r="K3" s="1">
        <v>34</v>
      </c>
      <c r="L3" s="1" t="s">
        <v>216</v>
      </c>
      <c r="M3" s="60" t="s">
        <v>133</v>
      </c>
      <c r="N3" s="83"/>
      <c r="O3" s="59"/>
      <c r="P3" s="1">
        <v>0</v>
      </c>
      <c r="Q3" s="1">
        <v>0</v>
      </c>
      <c r="R3" s="1">
        <v>0</v>
      </c>
      <c r="S3" s="6"/>
      <c r="T3" s="59"/>
      <c r="U3" s="197"/>
      <c r="V3" s="162" t="s">
        <v>424</v>
      </c>
      <c r="W3" s="110">
        <v>33</v>
      </c>
      <c r="X3" s="110" t="s">
        <v>163</v>
      </c>
      <c r="Y3" s="111" t="s">
        <v>218</v>
      </c>
      <c r="Z3" s="108"/>
      <c r="AA3" s="109" t="s">
        <v>424</v>
      </c>
      <c r="AB3" s="110">
        <v>33</v>
      </c>
      <c r="AC3" s="110" t="s">
        <v>163</v>
      </c>
      <c r="AD3" s="111" t="s">
        <v>218</v>
      </c>
      <c r="AE3" s="108"/>
    </row>
    <row r="4" spans="1:31">
      <c r="A4" s="133" t="s">
        <v>2</v>
      </c>
      <c r="B4" s="1">
        <v>42</v>
      </c>
      <c r="C4" s="6">
        <v>48</v>
      </c>
      <c r="D4" s="58"/>
      <c r="E4" s="66" t="s">
        <v>425</v>
      </c>
      <c r="F4" s="67">
        <v>34</v>
      </c>
      <c r="G4" s="67" t="s">
        <v>247</v>
      </c>
      <c r="H4" s="71" t="s">
        <v>248</v>
      </c>
      <c r="I4" s="83" t="s">
        <v>426</v>
      </c>
      <c r="J4" s="66" t="s">
        <v>425</v>
      </c>
      <c r="K4" s="1">
        <v>34</v>
      </c>
      <c r="L4" s="1" t="s">
        <v>247</v>
      </c>
      <c r="M4" s="60" t="s">
        <v>248</v>
      </c>
      <c r="N4" s="83" t="s">
        <v>427</v>
      </c>
      <c r="O4" s="59"/>
      <c r="P4" s="1">
        <v>0</v>
      </c>
      <c r="Q4" s="1">
        <v>0</v>
      </c>
      <c r="R4" s="1">
        <v>0</v>
      </c>
      <c r="S4" s="6"/>
      <c r="T4" s="59"/>
      <c r="U4" s="160"/>
      <c r="V4" s="156" t="s">
        <v>428</v>
      </c>
      <c r="W4" s="67">
        <v>34</v>
      </c>
      <c r="X4" s="125" t="s">
        <v>247</v>
      </c>
      <c r="Y4" s="71" t="s">
        <v>95</v>
      </c>
      <c r="Z4" s="83"/>
      <c r="AA4" s="156" t="s">
        <v>428</v>
      </c>
      <c r="AB4" s="67">
        <v>34</v>
      </c>
      <c r="AC4" s="125" t="s">
        <v>247</v>
      </c>
      <c r="AD4" s="71" t="s">
        <v>95</v>
      </c>
      <c r="AE4" s="83"/>
    </row>
    <row r="5" spans="1:31">
      <c r="A5" s="133" t="s">
        <v>4</v>
      </c>
      <c r="B5" s="1">
        <v>44</v>
      </c>
      <c r="C5" s="6">
        <v>78</v>
      </c>
      <c r="D5" s="87"/>
      <c r="E5" s="77" t="s">
        <v>127</v>
      </c>
      <c r="F5" s="78">
        <v>35</v>
      </c>
      <c r="G5" s="78" t="s">
        <v>216</v>
      </c>
      <c r="H5" s="81" t="s">
        <v>217</v>
      </c>
      <c r="I5" s="83"/>
      <c r="J5" s="66" t="s">
        <v>429</v>
      </c>
      <c r="K5" s="1">
        <v>51</v>
      </c>
      <c r="L5" s="1" t="s">
        <v>216</v>
      </c>
      <c r="M5" s="60" t="s">
        <v>217</v>
      </c>
      <c r="N5" s="83"/>
      <c r="O5" s="59"/>
      <c r="P5" s="1">
        <v>0</v>
      </c>
      <c r="Q5" s="1">
        <v>0</v>
      </c>
      <c r="R5" s="1">
        <v>0</v>
      </c>
      <c r="S5" s="6"/>
      <c r="T5" s="59"/>
      <c r="U5" s="197"/>
      <c r="V5" s="162" t="s">
        <v>430</v>
      </c>
      <c r="W5" s="198">
        <v>35</v>
      </c>
      <c r="X5" s="198" t="s">
        <v>163</v>
      </c>
      <c r="Y5" s="199" t="s">
        <v>266</v>
      </c>
      <c r="Z5" s="200" t="s">
        <v>295</v>
      </c>
      <c r="AA5" s="109" t="s">
        <v>430</v>
      </c>
      <c r="AB5" s="110">
        <v>35</v>
      </c>
      <c r="AC5" s="110" t="s">
        <v>163</v>
      </c>
      <c r="AD5" s="111" t="s">
        <v>266</v>
      </c>
      <c r="AE5" s="200" t="s">
        <v>296</v>
      </c>
    </row>
    <row r="6" spans="1:31">
      <c r="A6" s="133"/>
      <c r="B6" s="1"/>
      <c r="C6" s="6"/>
      <c r="D6" s="87"/>
      <c r="E6" s="66"/>
      <c r="F6" s="1">
        <v>0</v>
      </c>
      <c r="G6" s="1">
        <v>0</v>
      </c>
      <c r="H6" s="60">
        <v>0</v>
      </c>
      <c r="I6" s="83"/>
      <c r="J6" s="66"/>
      <c r="K6" s="1">
        <v>0</v>
      </c>
      <c r="L6" s="1">
        <v>0</v>
      </c>
      <c r="M6" s="60">
        <v>0</v>
      </c>
      <c r="N6" s="83"/>
      <c r="O6" s="59"/>
      <c r="P6" s="1">
        <v>0</v>
      </c>
      <c r="Q6" s="1">
        <v>0</v>
      </c>
      <c r="R6" s="1">
        <v>0</v>
      </c>
      <c r="S6" s="6"/>
      <c r="T6" s="59"/>
      <c r="U6" s="108"/>
      <c r="V6" s="162" t="s">
        <v>431</v>
      </c>
      <c r="W6" s="110">
        <v>34</v>
      </c>
      <c r="X6" s="110" t="s">
        <v>163</v>
      </c>
      <c r="Y6" s="111" t="s">
        <v>266</v>
      </c>
      <c r="Z6" s="200" t="s">
        <v>295</v>
      </c>
      <c r="AA6" s="109" t="s">
        <v>431</v>
      </c>
      <c r="AB6" s="110">
        <v>34</v>
      </c>
      <c r="AC6" s="110" t="s">
        <v>163</v>
      </c>
      <c r="AD6" s="111" t="s">
        <v>266</v>
      </c>
      <c r="AE6" s="108" t="s">
        <v>296</v>
      </c>
    </row>
    <row r="7" spans="1:31">
      <c r="A7" s="133" t="s">
        <v>6</v>
      </c>
      <c r="B7" s="1">
        <v>45</v>
      </c>
      <c r="C7" s="6">
        <v>53</v>
      </c>
      <c r="D7" s="85"/>
      <c r="E7" s="66" t="s">
        <v>432</v>
      </c>
      <c r="F7" s="67">
        <v>46</v>
      </c>
      <c r="G7" s="67" t="s">
        <v>216</v>
      </c>
      <c r="H7" s="71" t="s">
        <v>218</v>
      </c>
      <c r="I7" s="83"/>
      <c r="J7" s="59" t="s">
        <v>433</v>
      </c>
      <c r="K7" s="67">
        <v>53</v>
      </c>
      <c r="L7" s="67" t="s">
        <v>216</v>
      </c>
      <c r="M7" s="71" t="s">
        <v>218</v>
      </c>
      <c r="N7" s="83"/>
      <c r="O7" s="59"/>
      <c r="P7" s="1">
        <v>0</v>
      </c>
      <c r="Q7" s="1">
        <v>0</v>
      </c>
      <c r="R7" s="1">
        <v>0</v>
      </c>
      <c r="S7" s="6"/>
      <c r="T7" s="59"/>
      <c r="U7" s="160"/>
      <c r="V7" s="156"/>
      <c r="W7" s="67">
        <v>0</v>
      </c>
      <c r="X7" s="67">
        <v>0</v>
      </c>
      <c r="Y7" s="71">
        <v>0</v>
      </c>
      <c r="Z7" s="83"/>
      <c r="AA7" s="66"/>
      <c r="AB7" s="67">
        <v>0</v>
      </c>
      <c r="AC7" s="67">
        <v>0</v>
      </c>
      <c r="AD7" s="71">
        <v>0</v>
      </c>
      <c r="AE7" s="83"/>
    </row>
    <row r="8" spans="1:31">
      <c r="A8" s="133" t="s">
        <v>8</v>
      </c>
      <c r="B8" s="1">
        <v>27</v>
      </c>
      <c r="C8" s="6">
        <v>25</v>
      </c>
      <c r="D8" s="58"/>
      <c r="E8" s="59"/>
      <c r="F8" s="1">
        <v>0</v>
      </c>
      <c r="G8" s="1">
        <v>0</v>
      </c>
      <c r="H8" s="60">
        <v>0</v>
      </c>
      <c r="I8" s="69"/>
      <c r="J8" s="59"/>
      <c r="K8" s="1">
        <v>0</v>
      </c>
      <c r="L8" s="1">
        <v>0</v>
      </c>
      <c r="M8" s="60">
        <v>0</v>
      </c>
      <c r="N8" s="69"/>
      <c r="O8" s="59"/>
      <c r="P8" s="1">
        <v>0</v>
      </c>
      <c r="Q8" s="1">
        <v>0</v>
      </c>
      <c r="R8" s="1">
        <v>0</v>
      </c>
      <c r="S8" s="6"/>
      <c r="T8" s="59"/>
      <c r="U8" s="83"/>
      <c r="V8" s="156"/>
      <c r="W8" s="67">
        <v>0</v>
      </c>
      <c r="X8" s="67">
        <v>0</v>
      </c>
      <c r="Y8" s="71">
        <v>0</v>
      </c>
      <c r="Z8" s="83"/>
      <c r="AA8" s="66"/>
      <c r="AB8" s="67">
        <v>0</v>
      </c>
      <c r="AC8" s="67">
        <v>0</v>
      </c>
      <c r="AD8" s="71">
        <v>0</v>
      </c>
      <c r="AE8" s="83"/>
    </row>
    <row r="9" spans="1:31">
      <c r="A9" s="133" t="s">
        <v>10</v>
      </c>
      <c r="B9" s="1">
        <v>19</v>
      </c>
      <c r="C9" s="6">
        <v>25</v>
      </c>
      <c r="D9" s="58"/>
      <c r="E9" s="59"/>
      <c r="F9" s="1">
        <v>0</v>
      </c>
      <c r="G9" s="1">
        <v>0</v>
      </c>
      <c r="H9" s="60">
        <v>0</v>
      </c>
      <c r="I9" s="69"/>
      <c r="J9" s="59"/>
      <c r="K9" s="1">
        <v>0</v>
      </c>
      <c r="L9" s="1">
        <v>0</v>
      </c>
      <c r="M9" s="60">
        <v>0</v>
      </c>
      <c r="N9" s="69"/>
      <c r="O9" s="59"/>
      <c r="P9" s="1">
        <v>0</v>
      </c>
      <c r="Q9" s="1">
        <v>0</v>
      </c>
      <c r="R9" s="1">
        <v>0</v>
      </c>
      <c r="S9" s="6"/>
      <c r="T9" s="59"/>
      <c r="U9" s="83"/>
      <c r="V9" s="156"/>
      <c r="W9" s="67">
        <v>0</v>
      </c>
      <c r="X9" s="67">
        <v>0</v>
      </c>
      <c r="Y9" s="71">
        <v>0</v>
      </c>
      <c r="Z9" s="83"/>
      <c r="AA9" s="66"/>
      <c r="AB9" s="67">
        <v>0</v>
      </c>
      <c r="AC9" s="67">
        <v>0</v>
      </c>
      <c r="AD9" s="71">
        <v>0</v>
      </c>
      <c r="AE9" s="83"/>
    </row>
    <row r="10" spans="1:31">
      <c r="A10" s="133" t="s">
        <v>12</v>
      </c>
      <c r="B10" s="1">
        <v>33</v>
      </c>
      <c r="C10" s="6">
        <v>44</v>
      </c>
      <c r="D10" s="201"/>
      <c r="E10" s="59" t="s">
        <v>434</v>
      </c>
      <c r="F10" s="1">
        <v>42</v>
      </c>
      <c r="G10" s="1" t="s">
        <v>247</v>
      </c>
      <c r="H10" s="60" t="s">
        <v>252</v>
      </c>
      <c r="I10" s="69"/>
      <c r="J10" s="59" t="s">
        <v>434</v>
      </c>
      <c r="K10" s="1">
        <v>42</v>
      </c>
      <c r="L10" s="1" t="s">
        <v>247</v>
      </c>
      <c r="M10" s="60" t="s">
        <v>252</v>
      </c>
      <c r="N10" s="69"/>
      <c r="O10" s="59"/>
      <c r="P10" s="1">
        <v>0</v>
      </c>
      <c r="Q10" s="1">
        <v>0</v>
      </c>
      <c r="R10" s="1">
        <v>0</v>
      </c>
      <c r="S10" s="6"/>
      <c r="T10" s="59"/>
      <c r="U10" s="83"/>
      <c r="V10" s="164" t="s">
        <v>435</v>
      </c>
      <c r="W10" s="67">
        <v>42</v>
      </c>
      <c r="X10" s="67" t="s">
        <v>247</v>
      </c>
      <c r="Y10" s="71" t="s">
        <v>252</v>
      </c>
      <c r="Z10" s="83"/>
      <c r="AA10" s="59" t="s">
        <v>435</v>
      </c>
      <c r="AB10" s="67">
        <v>42</v>
      </c>
      <c r="AC10" s="67" t="s">
        <v>247</v>
      </c>
      <c r="AD10" s="71" t="s">
        <v>252</v>
      </c>
      <c r="AE10" s="83"/>
    </row>
    <row r="11" spans="1:31">
      <c r="A11" s="133" t="s">
        <v>14</v>
      </c>
      <c r="B11" s="1">
        <v>0</v>
      </c>
      <c r="C11" s="6"/>
      <c r="D11" s="58"/>
      <c r="E11" s="59"/>
      <c r="F11" s="1">
        <v>0</v>
      </c>
      <c r="G11" s="1">
        <v>0</v>
      </c>
      <c r="H11" s="60">
        <v>0</v>
      </c>
      <c r="I11" s="69"/>
      <c r="J11" s="59"/>
      <c r="K11" s="1">
        <v>0</v>
      </c>
      <c r="L11" s="1">
        <v>0</v>
      </c>
      <c r="M11" s="60">
        <v>0</v>
      </c>
      <c r="N11" s="69"/>
      <c r="O11" s="59"/>
      <c r="P11" s="1">
        <v>0</v>
      </c>
      <c r="Q11" s="1">
        <v>0</v>
      </c>
      <c r="R11" s="1">
        <v>0</v>
      </c>
      <c r="S11" s="6"/>
      <c r="T11" s="59"/>
      <c r="U11" s="83"/>
      <c r="V11" s="156"/>
      <c r="W11" s="67">
        <v>0</v>
      </c>
      <c r="X11" s="67">
        <v>0</v>
      </c>
      <c r="Y11" s="71">
        <v>0</v>
      </c>
      <c r="Z11" s="83"/>
      <c r="AA11" s="66"/>
      <c r="AB11" s="67">
        <v>0</v>
      </c>
      <c r="AC11" s="67">
        <v>0</v>
      </c>
      <c r="AD11" s="71">
        <v>0</v>
      </c>
      <c r="AE11" s="83"/>
    </row>
    <row r="12" spans="1:31">
      <c r="A12" s="133" t="s">
        <v>15</v>
      </c>
      <c r="B12" s="1">
        <v>37</v>
      </c>
      <c r="C12" s="6">
        <v>38</v>
      </c>
      <c r="D12" s="202"/>
      <c r="E12" s="109" t="s">
        <v>436</v>
      </c>
      <c r="F12" s="110">
        <v>23</v>
      </c>
      <c r="G12" s="110" t="s">
        <v>163</v>
      </c>
      <c r="H12" s="111" t="s">
        <v>270</v>
      </c>
      <c r="I12" s="108"/>
      <c r="J12" s="109" t="s">
        <v>436</v>
      </c>
      <c r="K12" s="110">
        <v>23</v>
      </c>
      <c r="L12" s="110" t="s">
        <v>163</v>
      </c>
      <c r="M12" s="111" t="s">
        <v>270</v>
      </c>
      <c r="N12" s="108"/>
      <c r="O12" s="59"/>
      <c r="P12" s="1">
        <v>0</v>
      </c>
      <c r="Q12" s="1">
        <v>0</v>
      </c>
      <c r="R12" s="1">
        <v>0</v>
      </c>
      <c r="S12" s="6"/>
      <c r="T12" s="59"/>
      <c r="U12" s="69"/>
      <c r="V12" s="164"/>
      <c r="W12" s="1">
        <v>0</v>
      </c>
      <c r="X12" s="1">
        <v>0</v>
      </c>
      <c r="Y12" s="60">
        <v>0</v>
      </c>
      <c r="Z12" s="69"/>
      <c r="AA12" s="59"/>
      <c r="AB12" s="67">
        <v>0</v>
      </c>
      <c r="AC12" s="67">
        <v>0</v>
      </c>
      <c r="AD12" s="71">
        <v>0</v>
      </c>
      <c r="AE12" s="69"/>
    </row>
    <row r="13" spans="1:31">
      <c r="A13" s="133" t="s">
        <v>17</v>
      </c>
      <c r="B13" s="1">
        <v>36</v>
      </c>
      <c r="C13" s="6">
        <v>38</v>
      </c>
      <c r="D13" s="58"/>
      <c r="E13" s="59"/>
      <c r="F13" s="1">
        <v>0</v>
      </c>
      <c r="G13" s="1">
        <v>0</v>
      </c>
      <c r="H13" s="60">
        <v>0</v>
      </c>
      <c r="I13" s="69"/>
      <c r="J13" s="59"/>
      <c r="K13" s="1">
        <v>0</v>
      </c>
      <c r="L13" s="1">
        <v>0</v>
      </c>
      <c r="M13" s="60">
        <v>0</v>
      </c>
      <c r="N13" s="69"/>
      <c r="O13" s="59"/>
      <c r="P13" s="1">
        <v>0</v>
      </c>
      <c r="Q13" s="1">
        <v>0</v>
      </c>
      <c r="R13" s="1">
        <v>0</v>
      </c>
      <c r="S13" s="6"/>
      <c r="T13" s="59"/>
      <c r="U13" s="69"/>
      <c r="V13" s="164" t="s">
        <v>437</v>
      </c>
      <c r="W13" s="1">
        <v>36</v>
      </c>
      <c r="X13" s="1" t="s">
        <v>225</v>
      </c>
      <c r="Y13" s="60" t="s">
        <v>62</v>
      </c>
      <c r="Z13" s="69"/>
      <c r="AA13" s="59" t="s">
        <v>437</v>
      </c>
      <c r="AB13" s="67">
        <v>36</v>
      </c>
      <c r="AC13" s="67" t="s">
        <v>225</v>
      </c>
      <c r="AD13" s="71" t="s">
        <v>62</v>
      </c>
      <c r="AE13" s="69"/>
    </row>
    <row r="14" spans="1:31">
      <c r="A14" s="133" t="s">
        <v>19</v>
      </c>
      <c r="B14" s="1">
        <v>32</v>
      </c>
      <c r="C14" s="6">
        <v>34</v>
      </c>
      <c r="D14" s="85"/>
      <c r="E14" s="66" t="s">
        <v>438</v>
      </c>
      <c r="F14" s="67">
        <v>34</v>
      </c>
      <c r="G14" s="67" t="s">
        <v>225</v>
      </c>
      <c r="H14" s="71" t="s">
        <v>62</v>
      </c>
      <c r="I14" s="83"/>
      <c r="J14" s="66" t="s">
        <v>438</v>
      </c>
      <c r="K14" s="67">
        <v>34</v>
      </c>
      <c r="L14" s="67" t="s">
        <v>225</v>
      </c>
      <c r="M14" s="71" t="s">
        <v>62</v>
      </c>
      <c r="N14" s="83"/>
      <c r="O14" s="59"/>
      <c r="P14" s="1">
        <v>0</v>
      </c>
      <c r="Q14" s="1">
        <v>0</v>
      </c>
      <c r="R14" s="1">
        <v>0</v>
      </c>
      <c r="S14" s="6"/>
      <c r="T14" s="59"/>
      <c r="U14" s="69"/>
      <c r="V14" s="164"/>
      <c r="W14" s="1">
        <v>0</v>
      </c>
      <c r="X14" s="1">
        <v>0</v>
      </c>
      <c r="Y14" s="60">
        <v>0</v>
      </c>
      <c r="Z14" s="69"/>
      <c r="AA14" s="59"/>
      <c r="AB14" s="67">
        <v>0</v>
      </c>
      <c r="AC14" s="67">
        <v>0</v>
      </c>
      <c r="AD14" s="71">
        <v>0</v>
      </c>
      <c r="AE14" s="69"/>
    </row>
    <row r="15" spans="1:31">
      <c r="A15" s="133" t="s">
        <v>21</v>
      </c>
      <c r="B15" s="1">
        <v>29</v>
      </c>
      <c r="C15" s="6">
        <v>34</v>
      </c>
      <c r="D15" s="58"/>
      <c r="E15" s="59"/>
      <c r="F15" s="1">
        <v>0</v>
      </c>
      <c r="G15" s="1">
        <v>0</v>
      </c>
      <c r="H15" s="60">
        <v>0</v>
      </c>
      <c r="I15" s="69"/>
      <c r="J15" s="59"/>
      <c r="K15" s="1">
        <v>0</v>
      </c>
      <c r="L15" s="1">
        <v>0</v>
      </c>
      <c r="M15" s="60">
        <v>0</v>
      </c>
      <c r="N15" s="69"/>
      <c r="O15" s="59"/>
      <c r="P15" s="1">
        <v>0</v>
      </c>
      <c r="Q15" s="1">
        <v>0</v>
      </c>
      <c r="R15" s="1">
        <v>0</v>
      </c>
      <c r="S15" s="6"/>
      <c r="T15" s="59"/>
      <c r="U15" s="69"/>
      <c r="V15" s="164"/>
      <c r="W15" s="1">
        <v>0</v>
      </c>
      <c r="X15" s="1">
        <v>0</v>
      </c>
      <c r="Y15" s="60">
        <v>0</v>
      </c>
      <c r="Z15" s="69"/>
      <c r="AA15" s="59"/>
      <c r="AB15" s="67">
        <v>0</v>
      </c>
      <c r="AC15" s="67">
        <v>0</v>
      </c>
      <c r="AD15" s="71">
        <v>0</v>
      </c>
      <c r="AE15" s="69"/>
    </row>
    <row r="16" spans="1:31">
      <c r="A16" s="133" t="s">
        <v>23</v>
      </c>
      <c r="B16" s="1">
        <v>22</v>
      </c>
      <c r="C16" s="6">
        <v>22</v>
      </c>
      <c r="D16" s="58"/>
      <c r="E16" s="59" t="s">
        <v>439</v>
      </c>
      <c r="F16" s="1">
        <v>18</v>
      </c>
      <c r="G16" s="1" t="s">
        <v>216</v>
      </c>
      <c r="H16" s="60" t="s">
        <v>220</v>
      </c>
      <c r="I16" s="69"/>
      <c r="J16" s="59" t="s">
        <v>440</v>
      </c>
      <c r="K16" s="1">
        <v>17</v>
      </c>
      <c r="L16" s="1" t="s">
        <v>216</v>
      </c>
      <c r="M16" s="60" t="s">
        <v>220</v>
      </c>
      <c r="N16" s="69"/>
      <c r="O16" s="59"/>
      <c r="P16" s="1">
        <v>0</v>
      </c>
      <c r="Q16" s="1">
        <v>0</v>
      </c>
      <c r="R16" s="1">
        <v>0</v>
      </c>
      <c r="S16" s="6"/>
      <c r="T16" s="59"/>
      <c r="U16" s="69"/>
      <c r="V16" s="164" t="s">
        <v>441</v>
      </c>
      <c r="W16" s="1">
        <v>20</v>
      </c>
      <c r="X16" s="1" t="s">
        <v>216</v>
      </c>
      <c r="Y16" s="60" t="s">
        <v>220</v>
      </c>
      <c r="Z16" s="69"/>
      <c r="AA16" s="59" t="s">
        <v>442</v>
      </c>
      <c r="AB16" s="67">
        <v>19</v>
      </c>
      <c r="AC16" s="67" t="s">
        <v>216</v>
      </c>
      <c r="AD16" s="71" t="s">
        <v>220</v>
      </c>
      <c r="AE16" s="69"/>
    </row>
    <row r="17" spans="1:31">
      <c r="A17" s="133" t="s">
        <v>25</v>
      </c>
      <c r="B17" s="1">
        <v>29</v>
      </c>
      <c r="C17" s="6">
        <v>31</v>
      </c>
      <c r="D17" s="58"/>
      <c r="E17" s="59"/>
      <c r="F17" s="1">
        <v>0</v>
      </c>
      <c r="G17" s="1">
        <v>0</v>
      </c>
      <c r="H17" s="60">
        <v>0</v>
      </c>
      <c r="I17" s="69"/>
      <c r="J17" s="59"/>
      <c r="K17" s="1">
        <v>0</v>
      </c>
      <c r="L17" s="1">
        <v>0</v>
      </c>
      <c r="M17" s="60">
        <v>0</v>
      </c>
      <c r="N17" s="69"/>
      <c r="O17" s="203"/>
      <c r="P17" s="1">
        <v>0</v>
      </c>
      <c r="Q17" s="1">
        <v>0</v>
      </c>
      <c r="R17" s="1">
        <v>0</v>
      </c>
      <c r="S17" s="6"/>
      <c r="T17" s="59"/>
      <c r="U17" s="69"/>
      <c r="V17" s="164"/>
      <c r="W17" s="1">
        <v>0</v>
      </c>
      <c r="X17" s="1">
        <v>0</v>
      </c>
      <c r="Y17" s="60">
        <v>0</v>
      </c>
      <c r="Z17" s="69"/>
      <c r="AA17" s="59"/>
      <c r="AB17" s="67">
        <v>0</v>
      </c>
      <c r="AC17" s="67">
        <v>0</v>
      </c>
      <c r="AD17" s="71">
        <v>0</v>
      </c>
      <c r="AE17" s="69"/>
    </row>
    <row r="18" spans="1:31">
      <c r="A18" s="133" t="s">
        <v>27</v>
      </c>
      <c r="B18" s="1">
        <v>40</v>
      </c>
      <c r="C18" s="6">
        <v>42</v>
      </c>
      <c r="D18" s="87"/>
      <c r="E18" s="66" t="s">
        <v>443</v>
      </c>
      <c r="F18" s="1">
        <v>39</v>
      </c>
      <c r="G18" s="1" t="s">
        <v>247</v>
      </c>
      <c r="H18" s="60" t="s">
        <v>254</v>
      </c>
      <c r="I18" s="83"/>
      <c r="J18" s="66" t="s">
        <v>443</v>
      </c>
      <c r="K18" s="1">
        <v>39</v>
      </c>
      <c r="L18" s="1" t="s">
        <v>247</v>
      </c>
      <c r="M18" s="60" t="s">
        <v>254</v>
      </c>
      <c r="N18" s="83"/>
      <c r="O18" s="66"/>
      <c r="P18" s="1">
        <v>0</v>
      </c>
      <c r="Q18" s="1">
        <v>0</v>
      </c>
      <c r="R18" s="1">
        <v>0</v>
      </c>
      <c r="S18" s="68"/>
      <c r="T18" s="66"/>
      <c r="U18" s="88"/>
      <c r="V18" s="156" t="s">
        <v>444</v>
      </c>
      <c r="W18" s="67">
        <v>35</v>
      </c>
      <c r="X18" s="67" t="s">
        <v>247</v>
      </c>
      <c r="Y18" s="71" t="s">
        <v>254</v>
      </c>
      <c r="Z18" s="83"/>
      <c r="AA18" s="66" t="s">
        <v>444</v>
      </c>
      <c r="AB18" s="67">
        <v>35</v>
      </c>
      <c r="AC18" s="67" t="s">
        <v>247</v>
      </c>
      <c r="AD18" s="71" t="s">
        <v>254</v>
      </c>
      <c r="AE18" s="83"/>
    </row>
    <row r="19" spans="1:31">
      <c r="A19" s="133"/>
      <c r="B19" s="1"/>
      <c r="C19" s="6"/>
      <c r="D19" s="87"/>
      <c r="E19" s="66"/>
      <c r="F19" s="1">
        <v>0</v>
      </c>
      <c r="G19" s="1">
        <v>0</v>
      </c>
      <c r="H19" s="60">
        <v>0</v>
      </c>
      <c r="I19" s="83"/>
      <c r="J19" s="66"/>
      <c r="K19" s="1">
        <v>0</v>
      </c>
      <c r="L19" s="1">
        <v>0</v>
      </c>
      <c r="M19" s="60">
        <v>0</v>
      </c>
      <c r="N19" s="83"/>
      <c r="O19" s="66"/>
      <c r="P19" s="1">
        <v>0</v>
      </c>
      <c r="Q19" s="1">
        <v>0</v>
      </c>
      <c r="R19" s="1">
        <v>0</v>
      </c>
      <c r="S19" s="68"/>
      <c r="T19" s="66"/>
      <c r="U19" s="88"/>
      <c r="V19" s="156"/>
      <c r="W19" s="67">
        <v>0</v>
      </c>
      <c r="X19" s="67">
        <v>0</v>
      </c>
      <c r="Y19" s="71">
        <v>0</v>
      </c>
      <c r="Z19" s="83"/>
      <c r="AA19" s="66"/>
      <c r="AB19" s="67">
        <v>0</v>
      </c>
      <c r="AC19" s="67">
        <v>0</v>
      </c>
      <c r="AD19" s="71">
        <v>0</v>
      </c>
      <c r="AE19" s="83"/>
    </row>
    <row r="20" spans="1:31">
      <c r="A20" s="133" t="s">
        <v>29</v>
      </c>
      <c r="B20" s="1">
        <v>39</v>
      </c>
      <c r="C20" s="6">
        <v>47</v>
      </c>
      <c r="D20" s="85"/>
      <c r="E20" s="66" t="s">
        <v>445</v>
      </c>
      <c r="F20" s="1">
        <v>43</v>
      </c>
      <c r="G20" s="1" t="s">
        <v>225</v>
      </c>
      <c r="H20" s="60" t="s">
        <v>212</v>
      </c>
      <c r="I20" s="83"/>
      <c r="J20" s="66" t="s">
        <v>445</v>
      </c>
      <c r="K20" s="1">
        <v>43</v>
      </c>
      <c r="L20" s="1" t="s">
        <v>225</v>
      </c>
      <c r="M20" s="60" t="s">
        <v>212</v>
      </c>
      <c r="N20" s="83"/>
      <c r="O20" s="66"/>
      <c r="P20" s="1">
        <v>0</v>
      </c>
      <c r="Q20" s="1">
        <v>0</v>
      </c>
      <c r="R20" s="1">
        <v>0</v>
      </c>
      <c r="S20" s="68"/>
      <c r="T20" s="66"/>
      <c r="U20" s="83"/>
      <c r="V20" s="156" t="s">
        <v>446</v>
      </c>
      <c r="W20" s="67">
        <v>34</v>
      </c>
      <c r="X20" s="67" t="s">
        <v>225</v>
      </c>
      <c r="Y20" s="71" t="s">
        <v>212</v>
      </c>
      <c r="Z20" s="83"/>
      <c r="AA20" s="66" t="s">
        <v>446</v>
      </c>
      <c r="AB20" s="67">
        <v>34</v>
      </c>
      <c r="AC20" s="67" t="s">
        <v>225</v>
      </c>
      <c r="AD20" s="71" t="s">
        <v>212</v>
      </c>
      <c r="AE20" s="83"/>
    </row>
    <row r="21" spans="1:31">
      <c r="A21" s="133" t="s">
        <v>31</v>
      </c>
      <c r="B21" s="1">
        <v>32</v>
      </c>
      <c r="C21" s="6">
        <v>34</v>
      </c>
      <c r="D21" s="85"/>
      <c r="E21" s="66" t="s">
        <v>447</v>
      </c>
      <c r="F21" s="1">
        <v>32</v>
      </c>
      <c r="G21" s="1" t="s">
        <v>216</v>
      </c>
      <c r="H21" s="60" t="s">
        <v>221</v>
      </c>
      <c r="I21" s="83"/>
      <c r="J21" s="66" t="s">
        <v>448</v>
      </c>
      <c r="K21" s="1">
        <v>33</v>
      </c>
      <c r="L21" s="1" t="s">
        <v>216</v>
      </c>
      <c r="M21" s="60" t="s">
        <v>221</v>
      </c>
      <c r="N21" s="83"/>
      <c r="O21" s="66"/>
      <c r="P21" s="1">
        <v>0</v>
      </c>
      <c r="Q21" s="1">
        <v>0</v>
      </c>
      <c r="R21" s="1">
        <v>0</v>
      </c>
      <c r="S21" s="68"/>
      <c r="T21" s="66"/>
      <c r="U21" s="83"/>
      <c r="V21" s="156" t="s">
        <v>449</v>
      </c>
      <c r="W21" s="67">
        <v>32</v>
      </c>
      <c r="X21" s="67" t="s">
        <v>216</v>
      </c>
      <c r="Y21" s="71" t="s">
        <v>221</v>
      </c>
      <c r="Z21" s="83"/>
      <c r="AA21" s="66"/>
      <c r="AB21" s="67">
        <v>0</v>
      </c>
      <c r="AC21" s="67">
        <v>0</v>
      </c>
      <c r="AD21" s="71">
        <v>0</v>
      </c>
      <c r="AE21" s="83"/>
    </row>
    <row r="22" spans="1:31">
      <c r="A22" s="133" t="s">
        <v>33</v>
      </c>
      <c r="B22" s="1">
        <v>0</v>
      </c>
      <c r="C22" s="6">
        <v>28</v>
      </c>
      <c r="D22" s="85"/>
      <c r="E22" s="66"/>
      <c r="F22" s="1">
        <v>0</v>
      </c>
      <c r="G22" s="1">
        <v>0</v>
      </c>
      <c r="H22" s="60">
        <v>0</v>
      </c>
      <c r="I22" s="83"/>
      <c r="J22" s="66"/>
      <c r="K22" s="1">
        <v>0</v>
      </c>
      <c r="L22" s="1">
        <v>0</v>
      </c>
      <c r="M22" s="60">
        <v>0</v>
      </c>
      <c r="N22" s="83"/>
      <c r="O22" s="66"/>
      <c r="P22" s="1">
        <v>0</v>
      </c>
      <c r="Q22" s="1">
        <v>0</v>
      </c>
      <c r="R22" s="1">
        <v>0</v>
      </c>
      <c r="S22" s="68"/>
      <c r="T22" s="66"/>
      <c r="U22" s="83"/>
      <c r="V22" s="156"/>
      <c r="W22" s="67">
        <v>0</v>
      </c>
      <c r="X22" s="67">
        <v>0</v>
      </c>
      <c r="Y22" s="71">
        <v>0</v>
      </c>
      <c r="Z22" s="83"/>
      <c r="AA22" s="66"/>
      <c r="AB22" s="67">
        <v>0</v>
      </c>
      <c r="AC22" s="67">
        <v>0</v>
      </c>
      <c r="AD22" s="71">
        <v>0</v>
      </c>
      <c r="AE22" s="83"/>
    </row>
    <row r="23" spans="1:31">
      <c r="A23" s="133" t="s">
        <v>35</v>
      </c>
      <c r="B23" s="1">
        <v>32</v>
      </c>
      <c r="C23" s="6">
        <v>32</v>
      </c>
      <c r="D23" s="85"/>
      <c r="E23" s="66" t="s">
        <v>450</v>
      </c>
      <c r="F23" s="1">
        <v>32</v>
      </c>
      <c r="G23" s="1" t="s">
        <v>225</v>
      </c>
      <c r="H23" s="60" t="s">
        <v>75</v>
      </c>
      <c r="I23" s="83"/>
      <c r="J23" s="66" t="s">
        <v>450</v>
      </c>
      <c r="K23" s="1">
        <v>32</v>
      </c>
      <c r="L23" s="1" t="s">
        <v>225</v>
      </c>
      <c r="M23" s="60" t="s">
        <v>75</v>
      </c>
      <c r="N23" s="83"/>
      <c r="O23" s="66"/>
      <c r="P23" s="1">
        <v>0</v>
      </c>
      <c r="Q23" s="1">
        <v>0</v>
      </c>
      <c r="R23" s="1">
        <v>0</v>
      </c>
      <c r="S23" s="68"/>
      <c r="T23" s="66"/>
      <c r="U23" s="83"/>
      <c r="V23" s="156"/>
      <c r="W23" s="67">
        <v>0</v>
      </c>
      <c r="X23" s="67">
        <v>0</v>
      </c>
      <c r="Y23" s="71">
        <v>0</v>
      </c>
      <c r="Z23" s="83"/>
      <c r="AA23" s="66"/>
      <c r="AB23" s="67">
        <v>0</v>
      </c>
      <c r="AC23" s="67">
        <v>0</v>
      </c>
      <c r="AD23" s="71">
        <v>0</v>
      </c>
      <c r="AE23" s="83"/>
    </row>
    <row r="24" spans="1:31">
      <c r="A24" s="133" t="s">
        <v>37</v>
      </c>
      <c r="B24" s="1">
        <v>29</v>
      </c>
      <c r="C24" s="6">
        <v>31</v>
      </c>
      <c r="D24" s="85"/>
      <c r="E24" s="66"/>
      <c r="F24" s="1">
        <v>0</v>
      </c>
      <c r="G24" s="1">
        <v>0</v>
      </c>
      <c r="H24" s="60">
        <v>0</v>
      </c>
      <c r="I24" s="83"/>
      <c r="J24" s="66"/>
      <c r="K24" s="1">
        <v>0</v>
      </c>
      <c r="L24" s="1">
        <v>0</v>
      </c>
      <c r="M24" s="60">
        <v>0</v>
      </c>
      <c r="N24" s="83"/>
      <c r="O24" s="66"/>
      <c r="P24" s="1">
        <v>0</v>
      </c>
      <c r="Q24" s="1">
        <v>0</v>
      </c>
      <c r="R24" s="1">
        <v>0</v>
      </c>
      <c r="S24" s="68"/>
      <c r="T24" s="66"/>
      <c r="U24" s="83"/>
      <c r="V24" s="156" t="s">
        <v>451</v>
      </c>
      <c r="W24" s="67">
        <v>34</v>
      </c>
      <c r="X24" s="67" t="s">
        <v>247</v>
      </c>
      <c r="Y24" s="71" t="s">
        <v>251</v>
      </c>
      <c r="Z24" s="83"/>
      <c r="AA24" s="66" t="s">
        <v>451</v>
      </c>
      <c r="AB24" s="67">
        <v>34</v>
      </c>
      <c r="AC24" s="67" t="s">
        <v>247</v>
      </c>
      <c r="AD24" s="71" t="s">
        <v>251</v>
      </c>
      <c r="AE24" s="83"/>
    </row>
    <row r="25" spans="1:31">
      <c r="A25" s="133" t="s">
        <v>39</v>
      </c>
      <c r="B25" s="1">
        <v>29</v>
      </c>
      <c r="C25" s="6">
        <v>35</v>
      </c>
      <c r="D25" s="85"/>
      <c r="E25" s="66" t="s">
        <v>452</v>
      </c>
      <c r="F25" s="1">
        <v>32</v>
      </c>
      <c r="G25" s="1" t="s">
        <v>225</v>
      </c>
      <c r="H25" s="60" t="s">
        <v>59</v>
      </c>
      <c r="I25" s="83"/>
      <c r="J25" s="66" t="s">
        <v>452</v>
      </c>
      <c r="K25" s="1">
        <v>32</v>
      </c>
      <c r="L25" s="1" t="s">
        <v>225</v>
      </c>
      <c r="M25" s="60" t="s">
        <v>59</v>
      </c>
      <c r="N25" s="83"/>
      <c r="O25" s="66"/>
      <c r="P25" s="1">
        <v>0</v>
      </c>
      <c r="Q25" s="1">
        <v>0</v>
      </c>
      <c r="R25" s="1">
        <v>0</v>
      </c>
      <c r="S25" s="68"/>
      <c r="T25" s="66"/>
      <c r="U25" s="88"/>
      <c r="V25" s="156" t="s">
        <v>453</v>
      </c>
      <c r="W25" s="67">
        <v>32</v>
      </c>
      <c r="X25" s="67" t="s">
        <v>247</v>
      </c>
      <c r="Y25" s="71" t="s">
        <v>255</v>
      </c>
      <c r="Z25" s="83"/>
      <c r="AA25" s="66" t="s">
        <v>453</v>
      </c>
      <c r="AB25" s="67">
        <v>32</v>
      </c>
      <c r="AC25" s="67" t="s">
        <v>247</v>
      </c>
      <c r="AD25" s="71" t="s">
        <v>255</v>
      </c>
      <c r="AE25" s="83"/>
    </row>
    <row r="26" spans="1:31">
      <c r="A26" s="133" t="s">
        <v>41</v>
      </c>
      <c r="B26" s="1">
        <v>29</v>
      </c>
      <c r="C26" s="6">
        <v>35</v>
      </c>
      <c r="D26" s="85"/>
      <c r="E26" s="66" t="s">
        <v>454</v>
      </c>
      <c r="F26" s="67">
        <v>34</v>
      </c>
      <c r="G26" s="67" t="s">
        <v>247</v>
      </c>
      <c r="H26" s="71" t="s">
        <v>258</v>
      </c>
      <c r="I26" s="83" t="s">
        <v>455</v>
      </c>
      <c r="J26" s="66" t="s">
        <v>454</v>
      </c>
      <c r="K26" s="67">
        <v>34</v>
      </c>
      <c r="L26" s="67" t="s">
        <v>247</v>
      </c>
      <c r="M26" s="71" t="s">
        <v>258</v>
      </c>
      <c r="N26" s="83"/>
      <c r="O26" s="66"/>
      <c r="P26" s="1">
        <v>0</v>
      </c>
      <c r="Q26" s="1">
        <v>0</v>
      </c>
      <c r="R26" s="1">
        <v>0</v>
      </c>
      <c r="S26" s="68"/>
      <c r="T26" s="66"/>
      <c r="U26" s="83"/>
      <c r="V26" s="156"/>
      <c r="W26" s="67"/>
      <c r="X26" s="67"/>
      <c r="Y26" s="71"/>
      <c r="Z26" s="83"/>
      <c r="AA26" s="66"/>
      <c r="AB26" s="67"/>
      <c r="AC26" s="67"/>
      <c r="AD26" s="71"/>
      <c r="AE26" s="83"/>
    </row>
    <row r="27" spans="1:31">
      <c r="A27" s="133" t="s">
        <v>43</v>
      </c>
      <c r="B27" s="1">
        <v>29</v>
      </c>
      <c r="C27" s="6">
        <v>38</v>
      </c>
      <c r="D27" s="204"/>
      <c r="E27" s="109" t="s">
        <v>456</v>
      </c>
      <c r="F27" s="110">
        <v>38</v>
      </c>
      <c r="G27" s="110" t="s">
        <v>163</v>
      </c>
      <c r="H27" s="111" t="s">
        <v>268</v>
      </c>
      <c r="I27" s="205"/>
      <c r="J27" s="109" t="s">
        <v>456</v>
      </c>
      <c r="K27" s="110">
        <v>38</v>
      </c>
      <c r="L27" s="110" t="s">
        <v>163</v>
      </c>
      <c r="M27" s="111" t="s">
        <v>268</v>
      </c>
      <c r="N27" s="205"/>
      <c r="O27" s="66"/>
      <c r="P27" s="1">
        <v>0</v>
      </c>
      <c r="Q27" s="1">
        <v>0</v>
      </c>
      <c r="R27" s="1">
        <v>0</v>
      </c>
      <c r="S27" s="68"/>
      <c r="T27" s="66"/>
      <c r="U27" s="222" t="s">
        <v>457</v>
      </c>
      <c r="V27" s="206" t="s">
        <v>457</v>
      </c>
      <c r="W27" s="110">
        <v>15</v>
      </c>
      <c r="X27" s="110" t="s">
        <v>163</v>
      </c>
      <c r="Y27" s="111" t="s">
        <v>268</v>
      </c>
      <c r="Z27" s="108"/>
      <c r="AA27" s="109" t="s">
        <v>457</v>
      </c>
      <c r="AB27" s="110">
        <v>15</v>
      </c>
      <c r="AC27" s="110" t="s">
        <v>163</v>
      </c>
      <c r="AD27" s="111" t="s">
        <v>268</v>
      </c>
      <c r="AE27" s="108"/>
    </row>
    <row r="28" spans="1:31">
      <c r="A28" s="133"/>
      <c r="B28" s="1"/>
      <c r="C28" s="6"/>
      <c r="D28" s="207"/>
      <c r="E28" s="208"/>
      <c r="F28" s="1">
        <v>0</v>
      </c>
      <c r="G28" s="1">
        <v>0</v>
      </c>
      <c r="H28" s="60">
        <v>0</v>
      </c>
      <c r="I28" s="209"/>
      <c r="J28" s="208"/>
      <c r="K28" s="1">
        <v>0</v>
      </c>
      <c r="L28" s="1">
        <v>0</v>
      </c>
      <c r="M28" s="60">
        <v>0</v>
      </c>
      <c r="N28" s="209"/>
      <c r="O28" s="66"/>
      <c r="P28" s="1">
        <v>0</v>
      </c>
      <c r="Q28" s="1">
        <v>0</v>
      </c>
      <c r="R28" s="1">
        <v>0</v>
      </c>
      <c r="S28" s="68"/>
      <c r="T28" s="66"/>
      <c r="U28" s="223"/>
      <c r="V28" s="206" t="s">
        <v>196</v>
      </c>
      <c r="W28" s="110">
        <v>18</v>
      </c>
      <c r="X28" s="110" t="s">
        <v>163</v>
      </c>
      <c r="Y28" s="111" t="s">
        <v>268</v>
      </c>
      <c r="Z28" s="108"/>
      <c r="AA28" s="109" t="s">
        <v>196</v>
      </c>
      <c r="AB28" s="110">
        <v>18</v>
      </c>
      <c r="AC28" s="110" t="s">
        <v>163</v>
      </c>
      <c r="AD28" s="111" t="s">
        <v>268</v>
      </c>
      <c r="AE28" s="108"/>
    </row>
    <row r="29" spans="1:31">
      <c r="A29" s="133"/>
      <c r="B29" s="1"/>
      <c r="C29" s="6"/>
      <c r="D29" s="210"/>
      <c r="E29" s="211"/>
      <c r="F29" s="1">
        <v>0</v>
      </c>
      <c r="G29" s="1">
        <v>0</v>
      </c>
      <c r="H29" s="60">
        <v>0</v>
      </c>
      <c r="I29" s="212"/>
      <c r="J29" s="211"/>
      <c r="K29" s="1">
        <v>0</v>
      </c>
      <c r="L29" s="1">
        <v>0</v>
      </c>
      <c r="M29" s="60">
        <v>0</v>
      </c>
      <c r="N29" s="212"/>
      <c r="O29" s="213"/>
      <c r="P29" s="1">
        <v>0</v>
      </c>
      <c r="Q29" s="1">
        <v>0</v>
      </c>
      <c r="R29" s="1">
        <v>0</v>
      </c>
      <c r="S29" s="174"/>
      <c r="T29" s="59"/>
      <c r="U29" s="69"/>
      <c r="V29" s="214"/>
      <c r="W29" s="67">
        <v>0</v>
      </c>
      <c r="X29" s="67">
        <v>0</v>
      </c>
      <c r="Y29" s="71">
        <v>0</v>
      </c>
      <c r="Z29" s="215"/>
      <c r="AA29" s="213"/>
      <c r="AB29" s="67">
        <v>0</v>
      </c>
      <c r="AC29" s="67">
        <v>0</v>
      </c>
      <c r="AD29" s="71">
        <v>0</v>
      </c>
      <c r="AE29" s="215"/>
    </row>
    <row r="30" spans="1:31" ht="17.25" thickBot="1">
      <c r="A30" s="133" t="s">
        <v>45</v>
      </c>
      <c r="B30" s="1">
        <v>29</v>
      </c>
      <c r="C30" s="6">
        <v>35</v>
      </c>
      <c r="D30" s="137"/>
      <c r="E30" s="138" t="s">
        <v>458</v>
      </c>
      <c r="F30" s="114">
        <v>34</v>
      </c>
      <c r="G30" s="114" t="s">
        <v>225</v>
      </c>
      <c r="H30" s="121" t="s">
        <v>68</v>
      </c>
      <c r="I30" s="139"/>
      <c r="J30" s="138" t="s">
        <v>458</v>
      </c>
      <c r="K30" s="114">
        <v>34</v>
      </c>
      <c r="L30" s="114" t="s">
        <v>225</v>
      </c>
      <c r="M30" s="121" t="s">
        <v>68</v>
      </c>
      <c r="N30" s="139"/>
      <c r="O30" s="138"/>
      <c r="P30" s="114">
        <v>0</v>
      </c>
      <c r="Q30" s="114">
        <v>0</v>
      </c>
      <c r="R30" s="114">
        <v>0</v>
      </c>
      <c r="S30" s="115"/>
      <c r="T30" s="138"/>
      <c r="U30" s="139"/>
      <c r="V30" s="216" t="s">
        <v>459</v>
      </c>
      <c r="W30" s="118">
        <v>34</v>
      </c>
      <c r="X30" s="118" t="s">
        <v>225</v>
      </c>
      <c r="Y30" s="119" t="s">
        <v>68</v>
      </c>
      <c r="Z30" s="139"/>
      <c r="AA30" s="138" t="s">
        <v>459</v>
      </c>
      <c r="AB30" s="114">
        <v>34</v>
      </c>
      <c r="AC30" s="114" t="s">
        <v>225</v>
      </c>
      <c r="AD30" s="121" t="s">
        <v>68</v>
      </c>
      <c r="AE30" s="139"/>
    </row>
    <row r="31" spans="1:31" hidden="1">
      <c r="A31" s="133" t="s">
        <v>51</v>
      </c>
      <c r="B31" s="1">
        <v>29</v>
      </c>
      <c r="C31" s="6">
        <v>30</v>
      </c>
      <c r="D31" s="127"/>
      <c r="E31" s="128"/>
      <c r="F31" s="125">
        <f>IFERROR(_xlfn.XLOOKUP(E31,[1]Classes!$B:$B,[1]Classes!$I:$I),"")</f>
        <v>0</v>
      </c>
      <c r="G31" s="125">
        <f>IFERROR(_xlfn.XLOOKUP(E31,[1]Classes!$B:$B,[1]Classes!$D:$D),"")</f>
        <v>0</v>
      </c>
      <c r="H31" s="129">
        <f>IFERROR(_xlfn.XLOOKUP(E31,[1]Classes!$B:$B,[1]Classes!$E:$E),"")</f>
        <v>0</v>
      </c>
      <c r="I31" s="130"/>
      <c r="J31" s="128"/>
      <c r="K31" s="125">
        <f>IFERROR(_xlfn.XLOOKUP(J31,[1]Classes!$B:$B,[1]Classes!$I:$I),"")</f>
        <v>0</v>
      </c>
      <c r="L31" s="125">
        <f>IFERROR(_xlfn.XLOOKUP(J31,[1]Classes!$B:$B,[1]Classes!$D:$D),"")</f>
        <v>0</v>
      </c>
      <c r="M31" s="129">
        <f>IFERROR(_xlfn.XLOOKUP(J31,[1]Classes!$B:$B,[1]Classes!$E:$E),"")</f>
        <v>0</v>
      </c>
      <c r="N31" s="130"/>
      <c r="O31" s="128"/>
      <c r="P31" s="125">
        <f>IFERROR(_xlfn.XLOOKUP(O31,[1]Classes!$B:$B,[1]Classes!$I:$I),"")</f>
        <v>0</v>
      </c>
      <c r="Q31" s="125">
        <f>IFERROR(_xlfn.XLOOKUP(O31,[1]Classes!$B:$B,[1]Classes!$D:$D),"")</f>
        <v>0</v>
      </c>
      <c r="R31" s="125">
        <f>IFERROR(_xlfn.XLOOKUP(O31,[1]Classes!$B:$B,[1]Classes!$E:$E),"")</f>
        <v>0</v>
      </c>
      <c r="S31" s="130"/>
      <c r="T31" s="186"/>
      <c r="U31" s="187"/>
      <c r="V31" s="128"/>
      <c r="W31" s="125">
        <f>IFERROR(_xlfn.XLOOKUP(V31,[1]Classes!$B:$B,[1]Classes!$I:$I),"")</f>
        <v>0</v>
      </c>
      <c r="X31" s="125">
        <f>IFERROR(_xlfn.XLOOKUP(V31,[1]Classes!$B:$B,[1]Classes!$D:$D),"")</f>
        <v>0</v>
      </c>
      <c r="Y31" s="129">
        <f>IFERROR(_xlfn.XLOOKUP(V31,[1]Classes!$B:$B,[1]Classes!$E:$E),"")</f>
        <v>0</v>
      </c>
      <c r="Z31" s="126"/>
      <c r="AA31" s="128"/>
      <c r="AB31" s="125">
        <f>IFERROR(_xlfn.XLOOKUP(AA31,[1]Classes!$B:$B,[1]Classes!$I:$I),"")</f>
        <v>0</v>
      </c>
      <c r="AC31" s="125">
        <f>IFERROR(_xlfn.XLOOKUP(AA31,[1]Classes!$B:$B,[1]Classes!$D:$D),"")</f>
        <v>0</v>
      </c>
      <c r="AD31" s="129">
        <f>IFERROR(_xlfn.XLOOKUP(AA31,[1]Classes!$B:$B,[1]Classes!$E:$E),"")</f>
        <v>0</v>
      </c>
      <c r="AE31" s="130"/>
    </row>
    <row r="32" spans="1:31" hidden="1">
      <c r="A32" s="133" t="s">
        <v>52</v>
      </c>
      <c r="B32" s="1">
        <v>29</v>
      </c>
      <c r="C32" s="6">
        <v>30</v>
      </c>
      <c r="D32" s="58"/>
      <c r="E32" s="59"/>
      <c r="F32" s="1">
        <f>IFERROR(_xlfn.XLOOKUP(E32,[1]Classes!$B:$B,[1]Classes!$I:$I),"")</f>
        <v>0</v>
      </c>
      <c r="G32" s="1">
        <f>IFERROR(_xlfn.XLOOKUP(E32,[1]Classes!$B:$B,[1]Classes!$D:$D),"")</f>
        <v>0</v>
      </c>
      <c r="H32" s="60">
        <f>IFERROR(_xlfn.XLOOKUP(E32,[1]Classes!$B:$B,[1]Classes!$E:$E),"")</f>
        <v>0</v>
      </c>
      <c r="I32" s="62"/>
      <c r="J32" s="59"/>
      <c r="K32" s="1">
        <f>IFERROR(_xlfn.XLOOKUP(J32,[1]Classes!$B:$B,[1]Classes!$I:$I),"")</f>
        <v>0</v>
      </c>
      <c r="L32" s="1">
        <f>IFERROR(_xlfn.XLOOKUP(J32,[1]Classes!$B:$B,[1]Classes!$D:$D),"")</f>
        <v>0</v>
      </c>
      <c r="M32" s="60">
        <f>IFERROR(_xlfn.XLOOKUP(J32,[1]Classes!$B:$B,[1]Classes!$E:$E),"")</f>
        <v>0</v>
      </c>
      <c r="N32" s="62"/>
      <c r="O32" s="59"/>
      <c r="P32" s="1">
        <f>IFERROR(_xlfn.XLOOKUP(O32,[1]Classes!$B:$B,[1]Classes!$I:$I),"")</f>
        <v>0</v>
      </c>
      <c r="Q32" s="1">
        <f>IFERROR(_xlfn.XLOOKUP(O32,[1]Classes!$B:$B,[1]Classes!$D:$D),"")</f>
        <v>0</v>
      </c>
      <c r="R32" s="1">
        <f>IFERROR(_xlfn.XLOOKUP(O32,[1]Classes!$B:$B,[1]Classes!$E:$E),"")</f>
        <v>0</v>
      </c>
      <c r="S32" s="62"/>
      <c r="T32" s="157"/>
      <c r="U32" s="83"/>
      <c r="V32" s="59"/>
      <c r="W32" s="1">
        <f>IFERROR(_xlfn.XLOOKUP(V32,[1]Classes!$B:$B,[1]Classes!$I:$I),"")</f>
        <v>0</v>
      </c>
      <c r="X32" s="1">
        <f>IFERROR(_xlfn.XLOOKUP(V32,[1]Classes!$B:$B,[1]Classes!$D:$D),"")</f>
        <v>0</v>
      </c>
      <c r="Y32" s="60">
        <f>IFERROR(_xlfn.XLOOKUP(V32,[1]Classes!$B:$B,[1]Classes!$E:$E),"")</f>
        <v>0</v>
      </c>
      <c r="Z32" s="6"/>
      <c r="AA32" s="59"/>
      <c r="AB32" s="1">
        <f>IFERROR(_xlfn.XLOOKUP(AA32,[1]Classes!$B:$B,[1]Classes!$I:$I),"")</f>
        <v>0</v>
      </c>
      <c r="AC32" s="1">
        <f>IFERROR(_xlfn.XLOOKUP(AA32,[1]Classes!$B:$B,[1]Classes!$D:$D),"")</f>
        <v>0</v>
      </c>
      <c r="AD32" s="60">
        <f>IFERROR(_xlfn.XLOOKUP(AA32,[1]Classes!$B:$B,[1]Classes!$E:$E),"")</f>
        <v>0</v>
      </c>
      <c r="AE32" s="69"/>
    </row>
    <row r="33" spans="1:31" hidden="1">
      <c r="A33" s="133" t="s">
        <v>50</v>
      </c>
      <c r="B33" s="1">
        <v>29</v>
      </c>
      <c r="C33" s="6">
        <v>30</v>
      </c>
      <c r="D33" s="58"/>
      <c r="E33" s="59"/>
      <c r="F33" s="1">
        <f>IFERROR(_xlfn.XLOOKUP(E33,[1]Classes!$B:$B,[1]Classes!$I:$I),"")</f>
        <v>0</v>
      </c>
      <c r="G33" s="1">
        <f>IFERROR(_xlfn.XLOOKUP(E33,[1]Classes!$B:$B,[1]Classes!$D:$D),"")</f>
        <v>0</v>
      </c>
      <c r="H33" s="60">
        <f>IFERROR(_xlfn.XLOOKUP(E33,[1]Classes!$B:$B,[1]Classes!$E:$E),"")</f>
        <v>0</v>
      </c>
      <c r="I33" s="69"/>
      <c r="J33" s="59"/>
      <c r="K33" s="1">
        <f>IFERROR(_xlfn.XLOOKUP(J33,[1]Classes!$B:$B,[1]Classes!$I:$I),"")</f>
        <v>0</v>
      </c>
      <c r="L33" s="1">
        <f>IFERROR(_xlfn.XLOOKUP(J33,[1]Classes!$B:$B,[1]Classes!$D:$D),"")</f>
        <v>0</v>
      </c>
      <c r="M33" s="60">
        <f>IFERROR(_xlfn.XLOOKUP(J33,[1]Classes!$B:$B,[1]Classes!$E:$E),"")</f>
        <v>0</v>
      </c>
      <c r="N33" s="69"/>
      <c r="O33" s="59"/>
      <c r="P33" s="1">
        <f>IFERROR(_xlfn.XLOOKUP(O33,[1]Classes!$B:$B,[1]Classes!$I:$I),"")</f>
        <v>0</v>
      </c>
      <c r="Q33" s="1">
        <f>IFERROR(_xlfn.XLOOKUP(O33,[1]Classes!$B:$B,[1]Classes!$D:$D),"")</f>
        <v>0</v>
      </c>
      <c r="R33" s="1">
        <f>IFERROR(_xlfn.XLOOKUP(O33,[1]Classes!$B:$B,[1]Classes!$E:$E),"")</f>
        <v>0</v>
      </c>
      <c r="S33" s="69"/>
      <c r="T33" s="157"/>
      <c r="U33" s="83"/>
      <c r="V33" s="59"/>
      <c r="W33" s="1">
        <f>IFERROR(_xlfn.XLOOKUP(V33,[1]Classes!$B:$B,[1]Classes!$I:$I),"")</f>
        <v>0</v>
      </c>
      <c r="X33" s="1">
        <f>IFERROR(_xlfn.XLOOKUP(V33,[1]Classes!$B:$B,[1]Classes!$D:$D),"")</f>
        <v>0</v>
      </c>
      <c r="Y33" s="60">
        <f>IFERROR(_xlfn.XLOOKUP(V33,[1]Classes!$B:$B,[1]Classes!$E:$E),"")</f>
        <v>0</v>
      </c>
      <c r="Z33" s="6"/>
      <c r="AA33" s="59"/>
      <c r="AB33" s="1">
        <f>IFERROR(_xlfn.XLOOKUP(AA33,[1]Classes!$B:$B,[1]Classes!$I:$I),"")</f>
        <v>0</v>
      </c>
      <c r="AC33" s="1">
        <f>IFERROR(_xlfn.XLOOKUP(AA33,[1]Classes!$B:$B,[1]Classes!$D:$D),"")</f>
        <v>0</v>
      </c>
      <c r="AD33" s="60">
        <f>IFERROR(_xlfn.XLOOKUP(AA33,[1]Classes!$B:$B,[1]Classes!$E:$E),"")</f>
        <v>0</v>
      </c>
      <c r="AE33" s="69"/>
    </row>
    <row r="34" spans="1:31" hidden="1">
      <c r="A34" s="133" t="s">
        <v>53</v>
      </c>
      <c r="B34" s="1">
        <v>29</v>
      </c>
      <c r="C34" s="6">
        <v>30</v>
      </c>
      <c r="D34" s="58"/>
      <c r="E34" s="59"/>
      <c r="F34" s="1">
        <f>IFERROR(_xlfn.XLOOKUP(E34,[1]Classes!$B:$B,[1]Classes!$I:$I),"")</f>
        <v>0</v>
      </c>
      <c r="G34" s="1">
        <f>IFERROR(_xlfn.XLOOKUP(E34,[1]Classes!$B:$B,[1]Classes!$D:$D),"")</f>
        <v>0</v>
      </c>
      <c r="H34" s="60">
        <f>IFERROR(_xlfn.XLOOKUP(E34,[1]Classes!$B:$B,[1]Classes!$E:$E),"")</f>
        <v>0</v>
      </c>
      <c r="I34" s="69"/>
      <c r="J34" s="59"/>
      <c r="K34" s="1">
        <f>IFERROR(_xlfn.XLOOKUP(J34,[1]Classes!$B:$B,[1]Classes!$I:$I),"")</f>
        <v>0</v>
      </c>
      <c r="L34" s="1">
        <f>IFERROR(_xlfn.XLOOKUP(J34,[1]Classes!$B:$B,[1]Classes!$D:$D),"")</f>
        <v>0</v>
      </c>
      <c r="M34" s="60">
        <f>IFERROR(_xlfn.XLOOKUP(J34,[1]Classes!$B:$B,[1]Classes!$E:$E),"")</f>
        <v>0</v>
      </c>
      <c r="N34" s="69"/>
      <c r="O34" s="59"/>
      <c r="P34" s="1">
        <f>IFERROR(_xlfn.XLOOKUP(O34,[1]Classes!$B:$B,[1]Classes!$I:$I),"")</f>
        <v>0</v>
      </c>
      <c r="Q34" s="1">
        <f>IFERROR(_xlfn.XLOOKUP(O34,[1]Classes!$B:$B,[1]Classes!$D:$D),"")</f>
        <v>0</v>
      </c>
      <c r="R34" s="1">
        <f>IFERROR(_xlfn.XLOOKUP(O34,[1]Classes!$B:$B,[1]Classes!$E:$E),"")</f>
        <v>0</v>
      </c>
      <c r="S34" s="69"/>
      <c r="T34" s="157"/>
      <c r="U34" s="83"/>
      <c r="V34" s="59"/>
      <c r="W34" s="1">
        <f>IFERROR(_xlfn.XLOOKUP(V34,[1]Classes!$B:$B,[1]Classes!$I:$I),"")</f>
        <v>0</v>
      </c>
      <c r="X34" s="1">
        <f>IFERROR(_xlfn.XLOOKUP(V34,[1]Classes!$B:$B,[1]Classes!$D:$D),"")</f>
        <v>0</v>
      </c>
      <c r="Y34" s="60">
        <f>IFERROR(_xlfn.XLOOKUP(V34,[1]Classes!$B:$B,[1]Classes!$E:$E),"")</f>
        <v>0</v>
      </c>
      <c r="Z34" s="6"/>
      <c r="AA34" s="59"/>
      <c r="AB34" s="1">
        <f>IFERROR(_xlfn.XLOOKUP(AA34,[1]Classes!$B:$B,[1]Classes!$I:$I),"")</f>
        <v>0</v>
      </c>
      <c r="AC34" s="1">
        <f>IFERROR(_xlfn.XLOOKUP(AA34,[1]Classes!$B:$B,[1]Classes!$D:$D),"")</f>
        <v>0</v>
      </c>
      <c r="AD34" s="60">
        <f>IFERROR(_xlfn.XLOOKUP(AA34,[1]Classes!$B:$B,[1]Classes!$E:$E),"")</f>
        <v>0</v>
      </c>
      <c r="AE34" s="69"/>
    </row>
    <row r="35" spans="1:31" hidden="1">
      <c r="A35" s="133" t="s">
        <v>48</v>
      </c>
      <c r="B35" s="1"/>
      <c r="C35" s="6">
        <v>80</v>
      </c>
      <c r="D35" s="58"/>
      <c r="E35" s="59"/>
      <c r="F35" s="1">
        <f>IFERROR(_xlfn.XLOOKUP(E35,[1]Classes!$B:$B,[1]Classes!$I:$I),"")</f>
        <v>0</v>
      </c>
      <c r="G35" s="1">
        <f>IFERROR(_xlfn.XLOOKUP(E35,[1]Classes!$B:$B,[1]Classes!$D:$D),"")</f>
        <v>0</v>
      </c>
      <c r="H35" s="60">
        <f>IFERROR(_xlfn.XLOOKUP(E35,[1]Classes!$B:$B,[1]Classes!$E:$E),"")</f>
        <v>0</v>
      </c>
      <c r="I35" s="69"/>
      <c r="J35" s="59"/>
      <c r="K35" s="1">
        <f>IFERROR(_xlfn.XLOOKUP(J35,[1]Classes!$B:$B,[1]Classes!$I:$I),"")</f>
        <v>0</v>
      </c>
      <c r="L35" s="1">
        <f>IFERROR(_xlfn.XLOOKUP(J35,[1]Classes!$B:$B,[1]Classes!$D:$D),"")</f>
        <v>0</v>
      </c>
      <c r="M35" s="60">
        <f>IFERROR(_xlfn.XLOOKUP(J35,[1]Classes!$B:$B,[1]Classes!$E:$E),"")</f>
        <v>0</v>
      </c>
      <c r="N35" s="69"/>
      <c r="O35" s="59"/>
      <c r="P35" s="1">
        <f>IFERROR(_xlfn.XLOOKUP(O35,[1]Classes!$B:$B,[1]Classes!$I:$I),"")</f>
        <v>0</v>
      </c>
      <c r="Q35" s="1">
        <f>IFERROR(_xlfn.XLOOKUP(O35,[1]Classes!$B:$B,[1]Classes!$D:$D),"")</f>
        <v>0</v>
      </c>
      <c r="R35" s="1">
        <f>IFERROR(_xlfn.XLOOKUP(O35,[1]Classes!$B:$B,[1]Classes!$E:$E),"")</f>
        <v>0</v>
      </c>
      <c r="S35" s="69"/>
      <c r="T35" s="157"/>
      <c r="U35" s="83"/>
      <c r="V35" s="59"/>
      <c r="W35" s="1">
        <f>IFERROR(_xlfn.XLOOKUP(V35,[1]Classes!$B:$B,[1]Classes!$I:$I),"")</f>
        <v>0</v>
      </c>
      <c r="X35" s="1">
        <f>IFERROR(_xlfn.XLOOKUP(V35,[1]Classes!$B:$B,[1]Classes!$D:$D),"")</f>
        <v>0</v>
      </c>
      <c r="Y35" s="60">
        <f>IFERROR(_xlfn.XLOOKUP(V35,[1]Classes!$B:$B,[1]Classes!$E:$E),"")</f>
        <v>0</v>
      </c>
      <c r="Z35" s="6"/>
      <c r="AA35" s="59"/>
      <c r="AB35" s="1">
        <f>IFERROR(_xlfn.XLOOKUP(AA35,[1]Classes!$B:$B,[1]Classes!$I:$I),"")</f>
        <v>0</v>
      </c>
      <c r="AC35" s="1">
        <f>IFERROR(_xlfn.XLOOKUP(AA35,[1]Classes!$B:$B,[1]Classes!$D:$D),"")</f>
        <v>0</v>
      </c>
      <c r="AD35" s="60">
        <f>IFERROR(_xlfn.XLOOKUP(AA35,[1]Classes!$B:$B,[1]Classes!$E:$E),"")</f>
        <v>0</v>
      </c>
      <c r="AE35" s="69"/>
    </row>
    <row r="36" spans="1:31" hidden="1">
      <c r="A36" s="133" t="s">
        <v>49</v>
      </c>
      <c r="B36" s="1">
        <v>29</v>
      </c>
      <c r="C36" s="6">
        <v>30</v>
      </c>
      <c r="D36" s="58"/>
      <c r="E36" s="59"/>
      <c r="F36" s="1">
        <f>IFERROR(_xlfn.XLOOKUP(E36,[1]Classes!$B:$B,[1]Classes!$I:$I),"")</f>
        <v>0</v>
      </c>
      <c r="G36" s="1">
        <f>IFERROR(_xlfn.XLOOKUP(E36,[1]Classes!$B:$B,[1]Classes!$D:$D),"")</f>
        <v>0</v>
      </c>
      <c r="H36" s="60">
        <f>IFERROR(_xlfn.XLOOKUP(E36,[1]Classes!$B:$B,[1]Classes!$E:$E),"")</f>
        <v>0</v>
      </c>
      <c r="I36" s="69"/>
      <c r="J36" s="59"/>
      <c r="K36" s="1">
        <f>IFERROR(_xlfn.XLOOKUP(J36,[1]Classes!$B:$B,[1]Classes!$I:$I),"")</f>
        <v>0</v>
      </c>
      <c r="L36" s="1">
        <f>IFERROR(_xlfn.XLOOKUP(J36,[1]Classes!$B:$B,[1]Classes!$D:$D),"")</f>
        <v>0</v>
      </c>
      <c r="M36" s="60">
        <f>IFERROR(_xlfn.XLOOKUP(J36,[1]Classes!$B:$B,[1]Classes!$E:$E),"")</f>
        <v>0</v>
      </c>
      <c r="N36" s="69"/>
      <c r="O36" s="59"/>
      <c r="P36" s="1">
        <f>IFERROR(_xlfn.XLOOKUP(O36,[1]Classes!$B:$B,[1]Classes!$I:$I),"")</f>
        <v>0</v>
      </c>
      <c r="Q36" s="1">
        <f>IFERROR(_xlfn.XLOOKUP(O36,[1]Classes!$B:$B,[1]Classes!$D:$D),"")</f>
        <v>0</v>
      </c>
      <c r="R36" s="1">
        <f>IFERROR(_xlfn.XLOOKUP(O36,[1]Classes!$B:$B,[1]Classes!$E:$E),"")</f>
        <v>0</v>
      </c>
      <c r="S36" s="69"/>
      <c r="T36" s="157"/>
      <c r="U36" s="83"/>
      <c r="V36" s="59"/>
      <c r="W36" s="1">
        <f>IFERROR(_xlfn.XLOOKUP(V36,[1]Classes!$B:$B,[1]Classes!$I:$I),"")</f>
        <v>0</v>
      </c>
      <c r="X36" s="1">
        <f>IFERROR(_xlfn.XLOOKUP(V36,[1]Classes!$B:$B,[1]Classes!$D:$D),"")</f>
        <v>0</v>
      </c>
      <c r="Y36" s="60">
        <f>IFERROR(_xlfn.XLOOKUP(V36,[1]Classes!$B:$B,[1]Classes!$E:$E),"")</f>
        <v>0</v>
      </c>
      <c r="Z36" s="6"/>
      <c r="AA36" s="59"/>
      <c r="AB36" s="1">
        <f>IFERROR(_xlfn.XLOOKUP(AA36,[1]Classes!$B:$B,[1]Classes!$I:$I),"")</f>
        <v>0</v>
      </c>
      <c r="AC36" s="1">
        <f>IFERROR(_xlfn.XLOOKUP(AA36,[1]Classes!$B:$B,[1]Classes!$D:$D),"")</f>
        <v>0</v>
      </c>
      <c r="AD36" s="60">
        <f>IFERROR(_xlfn.XLOOKUP(AA36,[1]Classes!$B:$B,[1]Classes!$E:$E),"")</f>
        <v>0</v>
      </c>
      <c r="AE36" s="69"/>
    </row>
    <row r="37" spans="1:31" ht="17.25" hidden="1" thickBot="1">
      <c r="A37" s="133" t="s">
        <v>47</v>
      </c>
      <c r="B37" s="1"/>
      <c r="C37" s="6">
        <v>80</v>
      </c>
      <c r="D37" s="137"/>
      <c r="E37" s="138"/>
      <c r="F37" s="114">
        <f>IFERROR(_xlfn.XLOOKUP(E37,[1]Classes!$B:$B,[1]Classes!$I:$I),"")</f>
        <v>0</v>
      </c>
      <c r="G37" s="114">
        <f>IFERROR(_xlfn.XLOOKUP(E37,[1]Classes!$B:$B,[1]Classes!$D:$D),"")</f>
        <v>0</v>
      </c>
      <c r="H37" s="121">
        <f>IFERROR(_xlfn.XLOOKUP(E37,[1]Classes!$B:$B,[1]Classes!$E:$E),"")</f>
        <v>0</v>
      </c>
      <c r="I37" s="139"/>
      <c r="J37" s="138"/>
      <c r="K37" s="114">
        <f>IFERROR(_xlfn.XLOOKUP(J37,[1]Classes!$B:$B,[1]Classes!$I:$I),"")</f>
        <v>0</v>
      </c>
      <c r="L37" s="114">
        <f>IFERROR(_xlfn.XLOOKUP(J37,[1]Classes!$B:$B,[1]Classes!$D:$D),"")</f>
        <v>0</v>
      </c>
      <c r="M37" s="121">
        <f>IFERROR(_xlfn.XLOOKUP(J37,[1]Classes!$B:$B,[1]Classes!$E:$E),"")</f>
        <v>0</v>
      </c>
      <c r="N37" s="139"/>
      <c r="O37" s="138"/>
      <c r="P37" s="1">
        <f>IFERROR(_xlfn.XLOOKUP(O37,[1]Classes!$B:$B,[1]Classes!$I:$I),"")</f>
        <v>0</v>
      </c>
      <c r="Q37" s="1">
        <f>IFERROR(_xlfn.XLOOKUP(O37,[1]Classes!$B:$B,[1]Classes!$D:$D),"")</f>
        <v>0</v>
      </c>
      <c r="R37" s="1">
        <f>IFERROR(_xlfn.XLOOKUP(O37,[1]Classes!$B:$B,[1]Classes!$E:$E),"")</f>
        <v>0</v>
      </c>
      <c r="S37" s="139"/>
      <c r="T37" s="190"/>
      <c r="U37" s="120"/>
      <c r="V37" s="138"/>
      <c r="W37" s="114">
        <f>IFERROR(_xlfn.XLOOKUP(V37,[1]Classes!$B:$B,[1]Classes!$I:$I),"")</f>
        <v>0</v>
      </c>
      <c r="X37" s="114">
        <f>IFERROR(_xlfn.XLOOKUP(V37,[1]Classes!$B:$B,[1]Classes!$D:$D),"")</f>
        <v>0</v>
      </c>
      <c r="Y37" s="121">
        <f>IFERROR(_xlfn.XLOOKUP(V37,[1]Classes!$B:$B,[1]Classes!$E:$E),"")</f>
        <v>0</v>
      </c>
      <c r="Z37" s="115"/>
      <c r="AA37" s="138"/>
      <c r="AB37" s="114">
        <f>IFERROR(_xlfn.XLOOKUP(AA37,[1]Classes!$B:$B,[1]Classes!$I:$I),"")</f>
        <v>0</v>
      </c>
      <c r="AC37" s="114">
        <f>IFERROR(_xlfn.XLOOKUP(AA37,[1]Classes!$B:$B,[1]Classes!$D:$D),"")</f>
        <v>0</v>
      </c>
      <c r="AD37" s="121">
        <f>IFERROR(_xlfn.XLOOKUP(AA37,[1]Classes!$B:$B,[1]Classes!$E:$E),"")</f>
        <v>0</v>
      </c>
      <c r="AE37" s="139"/>
    </row>
    <row r="39" spans="1:31">
      <c r="A39" s="143" t="s">
        <v>460</v>
      </c>
    </row>
    <row r="40" spans="1:31">
      <c r="G40" s="144" t="s">
        <v>364</v>
      </c>
      <c r="H40" s="144" t="s">
        <v>212</v>
      </c>
      <c r="I40" s="144">
        <f t="shared" ref="I40:I64" si="0">COUNTIF(H$3:H$37,H40)</f>
        <v>1</v>
      </c>
      <c r="J40" s="145"/>
      <c r="L40" s="144" t="s">
        <v>364</v>
      </c>
      <c r="M40" s="144" t="s">
        <v>212</v>
      </c>
      <c r="N40" s="144">
        <f t="shared" ref="N40:N64" si="1">COUNTIF(M$3:M$37,M40)</f>
        <v>1</v>
      </c>
      <c r="O40" s="146"/>
      <c r="Q40" s="144" t="s">
        <v>364</v>
      </c>
      <c r="R40" s="144" t="s">
        <v>212</v>
      </c>
      <c r="S40" s="144">
        <f t="shared" ref="S40:S64" si="2">COUNTIF(R$3:R$37,R40)</f>
        <v>0</v>
      </c>
      <c r="T40" s="146"/>
      <c r="U40" s="146"/>
      <c r="V40" s="146"/>
      <c r="X40" s="144" t="s">
        <v>364</v>
      </c>
      <c r="Y40" s="144" t="s">
        <v>212</v>
      </c>
      <c r="Z40" s="144">
        <f t="shared" ref="Z40:Z64" si="3">COUNTIF(Y$3:Y$37,Y40)</f>
        <v>1</v>
      </c>
      <c r="AA40" s="146"/>
      <c r="AB40" s="146"/>
      <c r="AC40" s="144" t="s">
        <v>364</v>
      </c>
      <c r="AD40" s="144" t="s">
        <v>212</v>
      </c>
      <c r="AE40" s="144">
        <f t="shared" ref="AE40:AE64" si="4">COUNTIF(AD$3:AD$37,AD40)</f>
        <v>1</v>
      </c>
    </row>
    <row r="41" spans="1:31">
      <c r="G41" s="144" t="s">
        <v>364</v>
      </c>
      <c r="H41" s="144" t="s">
        <v>80</v>
      </c>
      <c r="I41" s="144">
        <f t="shared" si="0"/>
        <v>0</v>
      </c>
      <c r="J41" s="145"/>
      <c r="L41" s="144" t="s">
        <v>364</v>
      </c>
      <c r="M41" s="144" t="s">
        <v>80</v>
      </c>
      <c r="N41" s="144">
        <f t="shared" si="1"/>
        <v>0</v>
      </c>
      <c r="O41" s="146"/>
      <c r="Q41" s="144" t="s">
        <v>364</v>
      </c>
      <c r="R41" s="144" t="s">
        <v>80</v>
      </c>
      <c r="S41" s="144">
        <f t="shared" si="2"/>
        <v>0</v>
      </c>
      <c r="T41" s="146"/>
      <c r="U41" s="146"/>
      <c r="V41" s="146"/>
      <c r="X41" s="144" t="s">
        <v>364</v>
      </c>
      <c r="Y41" s="144" t="s">
        <v>80</v>
      </c>
      <c r="Z41" s="144">
        <f t="shared" si="3"/>
        <v>0</v>
      </c>
      <c r="AA41" s="146"/>
      <c r="AB41" s="146"/>
      <c r="AC41" s="144" t="s">
        <v>364</v>
      </c>
      <c r="AD41" s="144" t="s">
        <v>80</v>
      </c>
      <c r="AE41" s="144">
        <f t="shared" si="4"/>
        <v>0</v>
      </c>
    </row>
    <row r="42" spans="1:31">
      <c r="G42" s="144" t="s">
        <v>364</v>
      </c>
      <c r="H42" s="144" t="s">
        <v>59</v>
      </c>
      <c r="I42" s="144">
        <f t="shared" si="0"/>
        <v>1</v>
      </c>
      <c r="J42" s="145"/>
      <c r="L42" s="144" t="s">
        <v>364</v>
      </c>
      <c r="M42" s="144" t="s">
        <v>59</v>
      </c>
      <c r="N42" s="144">
        <f t="shared" si="1"/>
        <v>1</v>
      </c>
      <c r="O42" s="146"/>
      <c r="Q42" s="144" t="s">
        <v>364</v>
      </c>
      <c r="R42" s="144" t="s">
        <v>59</v>
      </c>
      <c r="S42" s="144">
        <f t="shared" si="2"/>
        <v>0</v>
      </c>
      <c r="T42" s="146"/>
      <c r="U42" s="146"/>
      <c r="V42" s="146"/>
      <c r="X42" s="144" t="s">
        <v>364</v>
      </c>
      <c r="Y42" s="144" t="s">
        <v>59</v>
      </c>
      <c r="Z42" s="144">
        <f t="shared" si="3"/>
        <v>0</v>
      </c>
      <c r="AA42" s="146"/>
      <c r="AB42" s="146"/>
      <c r="AC42" s="144" t="s">
        <v>364</v>
      </c>
      <c r="AD42" s="144" t="s">
        <v>59</v>
      </c>
      <c r="AE42" s="144">
        <f t="shared" si="4"/>
        <v>0</v>
      </c>
    </row>
    <row r="43" spans="1:31">
      <c r="G43" s="144" t="s">
        <v>364</v>
      </c>
      <c r="H43" s="144" t="s">
        <v>365</v>
      </c>
      <c r="I43" s="144">
        <f t="shared" si="0"/>
        <v>1</v>
      </c>
      <c r="J43" s="145"/>
      <c r="L43" s="144" t="s">
        <v>364</v>
      </c>
      <c r="M43" s="144" t="s">
        <v>365</v>
      </c>
      <c r="N43" s="144">
        <f t="shared" si="1"/>
        <v>1</v>
      </c>
      <c r="O43" s="146"/>
      <c r="Q43" s="144" t="s">
        <v>364</v>
      </c>
      <c r="R43" s="144" t="s">
        <v>365</v>
      </c>
      <c r="S43" s="144">
        <f t="shared" si="2"/>
        <v>0</v>
      </c>
      <c r="T43" s="146"/>
      <c r="U43" s="146"/>
      <c r="V43" s="146"/>
      <c r="X43" s="144" t="s">
        <v>364</v>
      </c>
      <c r="Y43" s="144" t="s">
        <v>365</v>
      </c>
      <c r="Z43" s="144">
        <f t="shared" si="3"/>
        <v>1</v>
      </c>
      <c r="AA43" s="146"/>
      <c r="AB43" s="146"/>
      <c r="AC43" s="144" t="s">
        <v>364</v>
      </c>
      <c r="AD43" s="144" t="s">
        <v>365</v>
      </c>
      <c r="AE43" s="144">
        <f t="shared" si="4"/>
        <v>1</v>
      </c>
    </row>
    <row r="44" spans="1:31">
      <c r="G44" s="144" t="s">
        <v>364</v>
      </c>
      <c r="H44" s="144" t="s">
        <v>173</v>
      </c>
      <c r="I44" s="144">
        <f t="shared" si="0"/>
        <v>1</v>
      </c>
      <c r="J44" s="145"/>
      <c r="L44" s="144" t="s">
        <v>364</v>
      </c>
      <c r="M44" s="144" t="s">
        <v>173</v>
      </c>
      <c r="N44" s="144">
        <f t="shared" si="1"/>
        <v>1</v>
      </c>
      <c r="O44" s="146"/>
      <c r="Q44" s="144" t="s">
        <v>364</v>
      </c>
      <c r="R44" s="144" t="s">
        <v>173</v>
      </c>
      <c r="S44" s="144">
        <f t="shared" si="2"/>
        <v>0</v>
      </c>
      <c r="T44" s="146"/>
      <c r="U44" s="146"/>
      <c r="V44" s="146"/>
      <c r="X44" s="144" t="s">
        <v>364</v>
      </c>
      <c r="Y44" s="144" t="s">
        <v>173</v>
      </c>
      <c r="Z44" s="144">
        <f t="shared" si="3"/>
        <v>0</v>
      </c>
      <c r="AA44" s="146"/>
      <c r="AB44" s="146"/>
      <c r="AC44" s="144" t="s">
        <v>364</v>
      </c>
      <c r="AD44" s="144" t="s">
        <v>173</v>
      </c>
      <c r="AE44" s="144">
        <f t="shared" si="4"/>
        <v>0</v>
      </c>
    </row>
    <row r="45" spans="1:31">
      <c r="G45" s="144" t="s">
        <v>364</v>
      </c>
      <c r="H45" s="144" t="s">
        <v>72</v>
      </c>
      <c r="I45" s="144">
        <f t="shared" si="0"/>
        <v>0</v>
      </c>
      <c r="J45" s="145"/>
      <c r="L45" s="144" t="s">
        <v>364</v>
      </c>
      <c r="M45" s="144" t="s">
        <v>72</v>
      </c>
      <c r="N45" s="144">
        <f t="shared" si="1"/>
        <v>0</v>
      </c>
      <c r="O45" s="146"/>
      <c r="Q45" s="144" t="s">
        <v>364</v>
      </c>
      <c r="R45" s="144" t="s">
        <v>72</v>
      </c>
      <c r="S45" s="144">
        <f t="shared" si="2"/>
        <v>0</v>
      </c>
      <c r="T45" s="146"/>
      <c r="U45" s="146"/>
      <c r="V45" s="146"/>
      <c r="X45" s="144" t="s">
        <v>364</v>
      </c>
      <c r="Y45" s="144" t="s">
        <v>72</v>
      </c>
      <c r="Z45" s="144">
        <f t="shared" si="3"/>
        <v>0</v>
      </c>
      <c r="AA45" s="146"/>
      <c r="AB45" s="146"/>
      <c r="AC45" s="144" t="s">
        <v>364</v>
      </c>
      <c r="AD45" s="144" t="s">
        <v>72</v>
      </c>
      <c r="AE45" s="144">
        <f t="shared" si="4"/>
        <v>0</v>
      </c>
    </row>
    <row r="46" spans="1:31">
      <c r="G46" s="144" t="s">
        <v>364</v>
      </c>
      <c r="H46" s="144" t="s">
        <v>304</v>
      </c>
      <c r="I46" s="144">
        <f t="shared" si="0"/>
        <v>1</v>
      </c>
      <c r="J46" s="145"/>
      <c r="L46" s="144" t="s">
        <v>364</v>
      </c>
      <c r="M46" s="144" t="s">
        <v>304</v>
      </c>
      <c r="N46" s="144">
        <f t="shared" si="1"/>
        <v>1</v>
      </c>
      <c r="O46" s="146"/>
      <c r="Q46" s="144" t="s">
        <v>364</v>
      </c>
      <c r="R46" s="144" t="s">
        <v>304</v>
      </c>
      <c r="S46" s="144">
        <f t="shared" si="2"/>
        <v>0</v>
      </c>
      <c r="T46" s="146"/>
      <c r="U46" s="146"/>
      <c r="V46" s="146"/>
      <c r="X46" s="144" t="s">
        <v>364</v>
      </c>
      <c r="Y46" s="144" t="s">
        <v>304</v>
      </c>
      <c r="Z46" s="144">
        <f t="shared" si="3"/>
        <v>1</v>
      </c>
      <c r="AA46" s="146"/>
      <c r="AB46" s="146"/>
      <c r="AC46" s="144" t="s">
        <v>364</v>
      </c>
      <c r="AD46" s="144" t="s">
        <v>304</v>
      </c>
      <c r="AE46" s="144">
        <f t="shared" si="4"/>
        <v>1</v>
      </c>
    </row>
    <row r="47" spans="1:31">
      <c r="G47" s="144" t="s">
        <v>366</v>
      </c>
      <c r="H47" s="144" t="s">
        <v>175</v>
      </c>
      <c r="I47" s="144">
        <f t="shared" si="0"/>
        <v>0</v>
      </c>
      <c r="J47" s="145"/>
      <c r="L47" s="144" t="s">
        <v>366</v>
      </c>
      <c r="M47" s="144" t="s">
        <v>175</v>
      </c>
      <c r="N47" s="144">
        <f t="shared" si="1"/>
        <v>0</v>
      </c>
      <c r="O47" s="146"/>
      <c r="Q47" s="144" t="s">
        <v>366</v>
      </c>
      <c r="R47" s="144" t="s">
        <v>175</v>
      </c>
      <c r="S47" s="144">
        <f t="shared" si="2"/>
        <v>0</v>
      </c>
      <c r="T47" s="146"/>
      <c r="U47" s="146"/>
      <c r="V47" s="146"/>
      <c r="X47" s="144" t="s">
        <v>366</v>
      </c>
      <c r="Y47" s="144" t="s">
        <v>175</v>
      </c>
      <c r="Z47" s="144">
        <f t="shared" si="3"/>
        <v>0</v>
      </c>
      <c r="AA47" s="146"/>
      <c r="AB47" s="146"/>
      <c r="AC47" s="144" t="s">
        <v>366</v>
      </c>
      <c r="AD47" s="144" t="s">
        <v>175</v>
      </c>
      <c r="AE47" s="144">
        <f t="shared" si="4"/>
        <v>0</v>
      </c>
    </row>
    <row r="48" spans="1:31">
      <c r="G48" s="144" t="s">
        <v>366</v>
      </c>
      <c r="H48" s="144" t="s">
        <v>188</v>
      </c>
      <c r="I48" s="144">
        <f t="shared" si="0"/>
        <v>1</v>
      </c>
      <c r="J48" s="145"/>
      <c r="L48" s="144" t="s">
        <v>366</v>
      </c>
      <c r="M48" s="144" t="s">
        <v>188</v>
      </c>
      <c r="N48" s="144">
        <f t="shared" si="1"/>
        <v>1</v>
      </c>
      <c r="O48" s="146"/>
      <c r="Q48" s="144" t="s">
        <v>366</v>
      </c>
      <c r="R48" s="144" t="s">
        <v>188</v>
      </c>
      <c r="S48" s="144">
        <f t="shared" si="2"/>
        <v>0</v>
      </c>
      <c r="T48" s="146"/>
      <c r="U48" s="146"/>
      <c r="V48" s="146"/>
      <c r="X48" s="144" t="s">
        <v>366</v>
      </c>
      <c r="Y48" s="144" t="s">
        <v>188</v>
      </c>
      <c r="Z48" s="144">
        <f t="shared" si="3"/>
        <v>0</v>
      </c>
      <c r="AA48" s="146"/>
      <c r="AB48" s="146"/>
      <c r="AC48" s="144" t="s">
        <v>366</v>
      </c>
      <c r="AD48" s="144" t="s">
        <v>188</v>
      </c>
      <c r="AE48" s="144">
        <f t="shared" si="4"/>
        <v>0</v>
      </c>
    </row>
    <row r="49" spans="7:31">
      <c r="G49" s="144" t="s">
        <v>367</v>
      </c>
      <c r="H49" s="144" t="s">
        <v>368</v>
      </c>
      <c r="I49" s="144">
        <f t="shared" si="0"/>
        <v>0</v>
      </c>
      <c r="J49" s="145"/>
      <c r="L49" s="144" t="s">
        <v>367</v>
      </c>
      <c r="M49" s="144" t="s">
        <v>368</v>
      </c>
      <c r="N49" s="144">
        <f t="shared" si="1"/>
        <v>0</v>
      </c>
      <c r="O49" s="146"/>
      <c r="Q49" s="144" t="s">
        <v>367</v>
      </c>
      <c r="R49" s="144" t="s">
        <v>368</v>
      </c>
      <c r="S49" s="144">
        <f t="shared" si="2"/>
        <v>0</v>
      </c>
      <c r="T49" s="146"/>
      <c r="U49" s="146"/>
      <c r="V49" s="146"/>
      <c r="X49" s="144" t="s">
        <v>367</v>
      </c>
      <c r="Y49" s="144" t="s">
        <v>368</v>
      </c>
      <c r="Z49" s="144">
        <f t="shared" si="3"/>
        <v>0</v>
      </c>
      <c r="AA49" s="146"/>
      <c r="AB49" s="146"/>
      <c r="AC49" s="144" t="s">
        <v>367</v>
      </c>
      <c r="AD49" s="144" t="s">
        <v>368</v>
      </c>
      <c r="AE49" s="144">
        <f t="shared" si="4"/>
        <v>0</v>
      </c>
    </row>
    <row r="50" spans="7:31">
      <c r="G50" s="144" t="s">
        <v>369</v>
      </c>
      <c r="H50" s="144" t="s">
        <v>268</v>
      </c>
      <c r="I50" s="144">
        <f t="shared" si="0"/>
        <v>1</v>
      </c>
      <c r="J50" s="145"/>
      <c r="L50" s="144" t="s">
        <v>369</v>
      </c>
      <c r="M50" s="144" t="s">
        <v>268</v>
      </c>
      <c r="N50" s="144">
        <f t="shared" si="1"/>
        <v>1</v>
      </c>
      <c r="O50" s="146"/>
      <c r="Q50" s="144" t="s">
        <v>369</v>
      </c>
      <c r="R50" s="144" t="s">
        <v>268</v>
      </c>
      <c r="S50" s="144">
        <f t="shared" si="2"/>
        <v>0</v>
      </c>
      <c r="T50" s="146"/>
      <c r="U50" s="146"/>
      <c r="V50" s="146"/>
      <c r="X50" s="144" t="s">
        <v>369</v>
      </c>
      <c r="Y50" s="144" t="s">
        <v>268</v>
      </c>
      <c r="Z50" s="144">
        <f t="shared" si="3"/>
        <v>2</v>
      </c>
      <c r="AA50" s="146"/>
      <c r="AB50" s="146"/>
      <c r="AC50" s="144" t="s">
        <v>369</v>
      </c>
      <c r="AD50" s="144" t="s">
        <v>268</v>
      </c>
      <c r="AE50" s="144">
        <f t="shared" si="4"/>
        <v>2</v>
      </c>
    </row>
    <row r="51" spans="7:31">
      <c r="G51" s="144" t="s">
        <v>369</v>
      </c>
      <c r="H51" s="144" t="s">
        <v>370</v>
      </c>
      <c r="I51" s="144">
        <f t="shared" si="0"/>
        <v>0</v>
      </c>
      <c r="J51" s="145"/>
      <c r="L51" s="144" t="s">
        <v>369</v>
      </c>
      <c r="M51" s="144" t="s">
        <v>370</v>
      </c>
      <c r="N51" s="144">
        <f t="shared" si="1"/>
        <v>0</v>
      </c>
      <c r="O51" s="146"/>
      <c r="Q51" s="144" t="s">
        <v>369</v>
      </c>
      <c r="R51" s="144" t="s">
        <v>370</v>
      </c>
      <c r="S51" s="144">
        <f t="shared" si="2"/>
        <v>0</v>
      </c>
      <c r="T51" s="146"/>
      <c r="U51" s="146"/>
      <c r="V51" s="146"/>
      <c r="X51" s="144" t="s">
        <v>369</v>
      </c>
      <c r="Y51" s="144" t="s">
        <v>370</v>
      </c>
      <c r="Z51" s="144">
        <f t="shared" si="3"/>
        <v>0</v>
      </c>
      <c r="AA51" s="146"/>
      <c r="AB51" s="146"/>
      <c r="AC51" s="144" t="s">
        <v>369</v>
      </c>
      <c r="AD51" s="144" t="s">
        <v>370</v>
      </c>
      <c r="AE51" s="144">
        <f t="shared" si="4"/>
        <v>0</v>
      </c>
    </row>
    <row r="52" spans="7:31">
      <c r="G52" s="144" t="s">
        <v>371</v>
      </c>
      <c r="H52" s="144" t="s">
        <v>372</v>
      </c>
      <c r="I52" s="144">
        <f t="shared" si="0"/>
        <v>0</v>
      </c>
      <c r="J52" s="145"/>
      <c r="L52" s="144" t="s">
        <v>371</v>
      </c>
      <c r="M52" s="144" t="s">
        <v>372</v>
      </c>
      <c r="N52" s="144">
        <f t="shared" si="1"/>
        <v>0</v>
      </c>
      <c r="O52" s="146"/>
      <c r="Q52" s="144" t="s">
        <v>371</v>
      </c>
      <c r="R52" s="144" t="s">
        <v>372</v>
      </c>
      <c r="S52" s="144">
        <f t="shared" si="2"/>
        <v>0</v>
      </c>
      <c r="T52" s="146"/>
      <c r="U52" s="146"/>
      <c r="V52" s="146"/>
      <c r="X52" s="144" t="s">
        <v>371</v>
      </c>
      <c r="Y52" s="144" t="s">
        <v>372</v>
      </c>
      <c r="Z52" s="144">
        <f t="shared" si="3"/>
        <v>0</v>
      </c>
      <c r="AA52" s="146"/>
      <c r="AB52" s="146"/>
      <c r="AC52" s="144" t="s">
        <v>371</v>
      </c>
      <c r="AD52" s="144" t="s">
        <v>372</v>
      </c>
      <c r="AE52" s="144">
        <f t="shared" si="4"/>
        <v>0</v>
      </c>
    </row>
    <row r="53" spans="7:31">
      <c r="G53" s="144" t="s">
        <v>371</v>
      </c>
      <c r="H53" s="144" t="s">
        <v>373</v>
      </c>
      <c r="I53" s="144">
        <f t="shared" si="0"/>
        <v>0</v>
      </c>
      <c r="L53" s="144" t="s">
        <v>371</v>
      </c>
      <c r="M53" s="144" t="s">
        <v>373</v>
      </c>
      <c r="N53" s="144">
        <f t="shared" si="1"/>
        <v>0</v>
      </c>
      <c r="Q53" s="144" t="s">
        <v>371</v>
      </c>
      <c r="R53" s="144" t="s">
        <v>373</v>
      </c>
      <c r="S53" s="144">
        <f t="shared" si="2"/>
        <v>0</v>
      </c>
      <c r="X53" s="144" t="s">
        <v>371</v>
      </c>
      <c r="Y53" s="144" t="s">
        <v>373</v>
      </c>
      <c r="Z53" s="144">
        <f t="shared" si="3"/>
        <v>1</v>
      </c>
      <c r="AC53" s="144" t="s">
        <v>371</v>
      </c>
      <c r="AD53" s="144" t="s">
        <v>373</v>
      </c>
      <c r="AE53" s="144">
        <f t="shared" si="4"/>
        <v>1</v>
      </c>
    </row>
    <row r="54" spans="7:31">
      <c r="G54" s="144" t="s">
        <v>371</v>
      </c>
      <c r="H54" s="144" t="s">
        <v>105</v>
      </c>
      <c r="I54" s="144">
        <f t="shared" si="0"/>
        <v>0</v>
      </c>
      <c r="L54" s="144" t="s">
        <v>371</v>
      </c>
      <c r="M54" s="144" t="s">
        <v>105</v>
      </c>
      <c r="N54" s="144">
        <f t="shared" si="1"/>
        <v>0</v>
      </c>
      <c r="Q54" s="144" t="s">
        <v>371</v>
      </c>
      <c r="R54" s="144" t="s">
        <v>105</v>
      </c>
      <c r="S54" s="144">
        <f t="shared" si="2"/>
        <v>0</v>
      </c>
      <c r="X54" s="144" t="s">
        <v>371</v>
      </c>
      <c r="Y54" s="144" t="s">
        <v>105</v>
      </c>
      <c r="Z54" s="144">
        <f t="shared" si="3"/>
        <v>0</v>
      </c>
      <c r="AC54" s="144" t="s">
        <v>371</v>
      </c>
      <c r="AD54" s="144" t="s">
        <v>105</v>
      </c>
      <c r="AE54" s="144">
        <f t="shared" si="4"/>
        <v>0</v>
      </c>
    </row>
    <row r="55" spans="7:31">
      <c r="G55" s="144" t="s">
        <v>371</v>
      </c>
      <c r="H55" s="144" t="s">
        <v>374</v>
      </c>
      <c r="I55" s="144">
        <f t="shared" si="0"/>
        <v>1</v>
      </c>
      <c r="L55" s="144" t="s">
        <v>371</v>
      </c>
      <c r="M55" s="144" t="s">
        <v>374</v>
      </c>
      <c r="N55" s="144">
        <f t="shared" si="1"/>
        <v>1</v>
      </c>
      <c r="Q55" s="144" t="s">
        <v>371</v>
      </c>
      <c r="R55" s="144" t="s">
        <v>374</v>
      </c>
      <c r="S55" s="144">
        <f t="shared" si="2"/>
        <v>0</v>
      </c>
      <c r="X55" s="144" t="s">
        <v>371</v>
      </c>
      <c r="Y55" s="144" t="s">
        <v>374</v>
      </c>
      <c r="Z55" s="144">
        <f t="shared" si="3"/>
        <v>1</v>
      </c>
      <c r="AC55" s="144" t="s">
        <v>371</v>
      </c>
      <c r="AD55" s="144" t="s">
        <v>374</v>
      </c>
      <c r="AE55" s="144">
        <f t="shared" si="4"/>
        <v>1</v>
      </c>
    </row>
    <row r="56" spans="7:31">
      <c r="G56" s="144" t="s">
        <v>371</v>
      </c>
      <c r="H56" s="144" t="s">
        <v>100</v>
      </c>
      <c r="I56" s="144">
        <f t="shared" si="0"/>
        <v>0</v>
      </c>
      <c r="L56" s="144" t="s">
        <v>371</v>
      </c>
      <c r="M56" s="144" t="s">
        <v>100</v>
      </c>
      <c r="N56" s="144">
        <f t="shared" si="1"/>
        <v>0</v>
      </c>
      <c r="Q56" s="144" t="s">
        <v>371</v>
      </c>
      <c r="R56" s="144" t="s">
        <v>100</v>
      </c>
      <c r="S56" s="144">
        <f t="shared" si="2"/>
        <v>0</v>
      </c>
      <c r="X56" s="144" t="s">
        <v>371</v>
      </c>
      <c r="Y56" s="144" t="s">
        <v>100</v>
      </c>
      <c r="Z56" s="144">
        <f t="shared" si="3"/>
        <v>0</v>
      </c>
      <c r="AC56" s="144" t="s">
        <v>371</v>
      </c>
      <c r="AD56" s="144" t="s">
        <v>100</v>
      </c>
      <c r="AE56" s="144">
        <f t="shared" si="4"/>
        <v>0</v>
      </c>
    </row>
    <row r="57" spans="7:31">
      <c r="G57" s="144" t="s">
        <v>371</v>
      </c>
      <c r="H57" s="144" t="s">
        <v>375</v>
      </c>
      <c r="I57" s="144">
        <f t="shared" si="0"/>
        <v>1</v>
      </c>
      <c r="L57" s="144" t="s">
        <v>371</v>
      </c>
      <c r="M57" s="144" t="s">
        <v>375</v>
      </c>
      <c r="N57" s="144">
        <f t="shared" si="1"/>
        <v>1</v>
      </c>
      <c r="Q57" s="144" t="s">
        <v>371</v>
      </c>
      <c r="R57" s="144" t="s">
        <v>375</v>
      </c>
      <c r="S57" s="144">
        <f t="shared" si="2"/>
        <v>0</v>
      </c>
      <c r="X57" s="144" t="s">
        <v>371</v>
      </c>
      <c r="Y57" s="144" t="s">
        <v>375</v>
      </c>
      <c r="Z57" s="144">
        <f t="shared" si="3"/>
        <v>0</v>
      </c>
      <c r="AC57" s="144" t="s">
        <v>371</v>
      </c>
      <c r="AD57" s="144" t="s">
        <v>375</v>
      </c>
      <c r="AE57" s="144">
        <f t="shared" si="4"/>
        <v>0</v>
      </c>
    </row>
    <row r="58" spans="7:31">
      <c r="G58" s="144" t="s">
        <v>371</v>
      </c>
      <c r="H58" s="144" t="s">
        <v>110</v>
      </c>
      <c r="I58" s="144">
        <f t="shared" si="0"/>
        <v>1</v>
      </c>
      <c r="L58" s="144" t="s">
        <v>371</v>
      </c>
      <c r="M58" s="144" t="s">
        <v>110</v>
      </c>
      <c r="N58" s="144">
        <f t="shared" si="1"/>
        <v>1</v>
      </c>
      <c r="Q58" s="144" t="s">
        <v>371</v>
      </c>
      <c r="R58" s="144" t="s">
        <v>110</v>
      </c>
      <c r="S58" s="144">
        <f t="shared" si="2"/>
        <v>0</v>
      </c>
      <c r="X58" s="144" t="s">
        <v>371</v>
      </c>
      <c r="Y58" s="144" t="s">
        <v>110</v>
      </c>
      <c r="Z58" s="144">
        <f t="shared" si="3"/>
        <v>1</v>
      </c>
      <c r="AC58" s="144" t="s">
        <v>371</v>
      </c>
      <c r="AD58" s="144" t="s">
        <v>110</v>
      </c>
      <c r="AE58" s="144">
        <f t="shared" si="4"/>
        <v>1</v>
      </c>
    </row>
    <row r="59" spans="7:31">
      <c r="G59" s="144" t="s">
        <v>376</v>
      </c>
      <c r="H59" s="144" t="s">
        <v>220</v>
      </c>
      <c r="I59" s="144">
        <f t="shared" si="0"/>
        <v>1</v>
      </c>
      <c r="L59" s="144" t="s">
        <v>376</v>
      </c>
      <c r="M59" s="144" t="s">
        <v>220</v>
      </c>
      <c r="N59" s="144">
        <f t="shared" si="1"/>
        <v>1</v>
      </c>
      <c r="Q59" s="144" t="s">
        <v>376</v>
      </c>
      <c r="R59" s="144" t="s">
        <v>220</v>
      </c>
      <c r="S59" s="144">
        <f t="shared" si="2"/>
        <v>0</v>
      </c>
      <c r="X59" s="144" t="s">
        <v>376</v>
      </c>
      <c r="Y59" s="144" t="s">
        <v>220</v>
      </c>
      <c r="Z59" s="144">
        <f t="shared" si="3"/>
        <v>1</v>
      </c>
      <c r="AC59" s="144" t="s">
        <v>376</v>
      </c>
      <c r="AD59" s="144" t="s">
        <v>220</v>
      </c>
      <c r="AE59" s="144">
        <f t="shared" si="4"/>
        <v>1</v>
      </c>
    </row>
    <row r="60" spans="7:31">
      <c r="G60" s="144" t="s">
        <v>376</v>
      </c>
      <c r="H60" s="144" t="s">
        <v>217</v>
      </c>
      <c r="I60" s="144">
        <f t="shared" si="0"/>
        <v>1</v>
      </c>
      <c r="L60" s="144" t="s">
        <v>376</v>
      </c>
      <c r="M60" s="144" t="s">
        <v>217</v>
      </c>
      <c r="N60" s="144">
        <f t="shared" si="1"/>
        <v>1</v>
      </c>
      <c r="Q60" s="144" t="s">
        <v>376</v>
      </c>
      <c r="R60" s="144" t="s">
        <v>217</v>
      </c>
      <c r="S60" s="144">
        <f t="shared" si="2"/>
        <v>0</v>
      </c>
      <c r="X60" s="144" t="s">
        <v>376</v>
      </c>
      <c r="Y60" s="144" t="s">
        <v>217</v>
      </c>
      <c r="Z60" s="144">
        <f t="shared" si="3"/>
        <v>0</v>
      </c>
      <c r="AC60" s="144" t="s">
        <v>376</v>
      </c>
      <c r="AD60" s="144" t="s">
        <v>217</v>
      </c>
      <c r="AE60" s="144">
        <f t="shared" si="4"/>
        <v>0</v>
      </c>
    </row>
    <row r="61" spans="7:31">
      <c r="G61" s="144" t="s">
        <v>376</v>
      </c>
      <c r="H61" s="144" t="s">
        <v>218</v>
      </c>
      <c r="I61" s="144">
        <f t="shared" si="0"/>
        <v>1</v>
      </c>
      <c r="L61" s="144" t="s">
        <v>376</v>
      </c>
      <c r="M61" s="144" t="s">
        <v>218</v>
      </c>
      <c r="N61" s="144">
        <f t="shared" si="1"/>
        <v>1</v>
      </c>
      <c r="Q61" s="144" t="s">
        <v>376</v>
      </c>
      <c r="R61" s="144" t="s">
        <v>218</v>
      </c>
      <c r="S61" s="144">
        <f t="shared" si="2"/>
        <v>0</v>
      </c>
      <c r="X61" s="144" t="s">
        <v>376</v>
      </c>
      <c r="Y61" s="144" t="s">
        <v>218</v>
      </c>
      <c r="Z61" s="144">
        <f t="shared" si="3"/>
        <v>1</v>
      </c>
      <c r="AC61" s="144" t="s">
        <v>376</v>
      </c>
      <c r="AD61" s="144" t="s">
        <v>218</v>
      </c>
      <c r="AE61" s="144">
        <f t="shared" si="4"/>
        <v>1</v>
      </c>
    </row>
    <row r="62" spans="7:31">
      <c r="G62" s="144" t="s">
        <v>376</v>
      </c>
      <c r="H62" s="144" t="s">
        <v>159</v>
      </c>
      <c r="I62" s="144">
        <f t="shared" si="0"/>
        <v>0</v>
      </c>
      <c r="L62" s="144" t="s">
        <v>376</v>
      </c>
      <c r="M62" s="144" t="s">
        <v>159</v>
      </c>
      <c r="N62" s="144">
        <f t="shared" si="1"/>
        <v>0</v>
      </c>
      <c r="Q62" s="144" t="s">
        <v>376</v>
      </c>
      <c r="R62" s="144" t="s">
        <v>159</v>
      </c>
      <c r="S62" s="144">
        <f t="shared" si="2"/>
        <v>0</v>
      </c>
      <c r="X62" s="144" t="s">
        <v>376</v>
      </c>
      <c r="Y62" s="144" t="s">
        <v>159</v>
      </c>
      <c r="Z62" s="144">
        <f t="shared" si="3"/>
        <v>0</v>
      </c>
      <c r="AC62" s="144" t="s">
        <v>376</v>
      </c>
      <c r="AD62" s="144" t="s">
        <v>159</v>
      </c>
      <c r="AE62" s="144">
        <f t="shared" si="4"/>
        <v>0</v>
      </c>
    </row>
    <row r="63" spans="7:31">
      <c r="G63" s="144" t="s">
        <v>376</v>
      </c>
      <c r="H63" s="144" t="s">
        <v>219</v>
      </c>
      <c r="I63" s="144">
        <f t="shared" si="0"/>
        <v>0</v>
      </c>
      <c r="L63" s="144" t="s">
        <v>376</v>
      </c>
      <c r="M63" s="144" t="s">
        <v>219</v>
      </c>
      <c r="N63" s="144">
        <f t="shared" si="1"/>
        <v>1</v>
      </c>
      <c r="Q63" s="144" t="s">
        <v>376</v>
      </c>
      <c r="R63" s="144" t="s">
        <v>219</v>
      </c>
      <c r="S63" s="144">
        <f t="shared" si="2"/>
        <v>0</v>
      </c>
      <c r="X63" s="144" t="s">
        <v>376</v>
      </c>
      <c r="Y63" s="144" t="s">
        <v>219</v>
      </c>
      <c r="Z63" s="144">
        <f t="shared" si="3"/>
        <v>0</v>
      </c>
      <c r="AC63" s="144" t="s">
        <v>376</v>
      </c>
      <c r="AD63" s="144" t="s">
        <v>219</v>
      </c>
      <c r="AE63" s="144">
        <f t="shared" si="4"/>
        <v>0</v>
      </c>
    </row>
    <row r="64" spans="7:31">
      <c r="G64" s="144" t="s">
        <v>376</v>
      </c>
      <c r="H64" s="144" t="s">
        <v>422</v>
      </c>
      <c r="I64" s="144">
        <f t="shared" si="0"/>
        <v>0</v>
      </c>
      <c r="L64" s="144" t="s">
        <v>376</v>
      </c>
      <c r="M64" s="144" t="s">
        <v>422</v>
      </c>
      <c r="N64" s="144">
        <f t="shared" si="1"/>
        <v>0</v>
      </c>
      <c r="Q64" s="144" t="s">
        <v>376</v>
      </c>
      <c r="R64" s="144" t="s">
        <v>422</v>
      </c>
      <c r="S64" s="144">
        <f t="shared" si="2"/>
        <v>0</v>
      </c>
      <c r="X64" s="144" t="s">
        <v>376</v>
      </c>
      <c r="Y64" s="144" t="s">
        <v>422</v>
      </c>
      <c r="Z64" s="144">
        <f t="shared" si="3"/>
        <v>0</v>
      </c>
      <c r="AC64" s="144" t="s">
        <v>376</v>
      </c>
      <c r="AD64" s="144" t="s">
        <v>422</v>
      </c>
      <c r="AE64" s="144">
        <f t="shared" si="4"/>
        <v>0</v>
      </c>
    </row>
    <row r="66" spans="5:28">
      <c r="E66" s="146"/>
      <c r="F66" s="146"/>
      <c r="J66" s="146"/>
      <c r="K66" s="146"/>
      <c r="O66" s="146"/>
      <c r="P66" s="146"/>
      <c r="V66" s="146"/>
      <c r="W66" s="146"/>
      <c r="AA66" s="146"/>
      <c r="AB66" s="146"/>
    </row>
    <row r="67" spans="5:28">
      <c r="E67" s="146"/>
      <c r="F67" s="146"/>
      <c r="J67" s="146"/>
      <c r="K67" s="146"/>
      <c r="O67" s="146"/>
      <c r="P67" s="146"/>
      <c r="V67" s="146"/>
      <c r="W67" s="146"/>
      <c r="AA67" s="146"/>
      <c r="AB67" s="146"/>
    </row>
    <row r="68" spans="5:28">
      <c r="E68" s="146"/>
      <c r="F68" s="146"/>
      <c r="J68" s="146"/>
      <c r="K68" s="146"/>
      <c r="O68" s="146"/>
      <c r="P68" s="146"/>
      <c r="V68" s="146"/>
      <c r="W68" s="146"/>
      <c r="AA68" s="146"/>
      <c r="AB68" s="146"/>
    </row>
    <row r="69" spans="5:28">
      <c r="E69" s="146"/>
      <c r="F69" s="146"/>
      <c r="J69" s="146"/>
      <c r="K69" s="146"/>
      <c r="O69" s="146"/>
      <c r="P69" s="146"/>
      <c r="V69" s="146"/>
      <c r="W69" s="146"/>
      <c r="AA69" s="146"/>
      <c r="AB69" s="146"/>
    </row>
    <row r="70" spans="5:28">
      <c r="E70" s="146"/>
      <c r="F70" s="146"/>
      <c r="J70" s="146"/>
      <c r="K70" s="146"/>
      <c r="O70" s="146"/>
      <c r="P70" s="146"/>
      <c r="V70" s="146"/>
      <c r="W70" s="146"/>
      <c r="AA70" s="146"/>
      <c r="AB70" s="146"/>
    </row>
    <row r="71" spans="5:28">
      <c r="E71" s="146"/>
      <c r="F71" s="146"/>
      <c r="J71" s="146"/>
      <c r="K71" s="146"/>
      <c r="O71" s="146"/>
      <c r="P71" s="146"/>
      <c r="V71" s="146"/>
      <c r="W71" s="146"/>
      <c r="AA71" s="146"/>
      <c r="AB71" s="146"/>
    </row>
    <row r="72" spans="5:28">
      <c r="E72" s="146"/>
      <c r="F72" s="146"/>
      <c r="J72" s="146"/>
      <c r="K72" s="146"/>
      <c r="O72" s="146"/>
      <c r="P72" s="146"/>
      <c r="V72" s="146"/>
      <c r="W72" s="146"/>
      <c r="AA72" s="146"/>
      <c r="AB72" s="146"/>
    </row>
    <row r="73" spans="5:28">
      <c r="E73" s="146"/>
      <c r="F73" s="146"/>
      <c r="J73" s="146"/>
      <c r="K73" s="146"/>
      <c r="O73" s="146"/>
      <c r="P73" s="146"/>
      <c r="V73" s="146"/>
      <c r="W73" s="146"/>
      <c r="AA73" s="146"/>
      <c r="AB73" s="146"/>
    </row>
    <row r="74" spans="5:28">
      <c r="E74" s="146"/>
      <c r="F74" s="146"/>
      <c r="J74" s="146"/>
      <c r="K74" s="146"/>
      <c r="O74" s="146"/>
      <c r="P74" s="146"/>
      <c r="V74" s="146"/>
      <c r="W74" s="146"/>
      <c r="AA74" s="146"/>
      <c r="AB74" s="146"/>
    </row>
    <row r="75" spans="5:28">
      <c r="E75" s="146"/>
      <c r="F75" s="146"/>
      <c r="J75" s="146"/>
      <c r="K75" s="146"/>
      <c r="O75" s="146"/>
      <c r="P75" s="146"/>
      <c r="V75" s="146"/>
      <c r="W75" s="146"/>
      <c r="AA75" s="146"/>
      <c r="AB75" s="146"/>
    </row>
    <row r="76" spans="5:28">
      <c r="E76" s="146"/>
      <c r="F76" s="146"/>
      <c r="J76" s="146"/>
      <c r="K76" s="146"/>
      <c r="O76" s="146"/>
      <c r="P76" s="146"/>
      <c r="V76" s="146"/>
      <c r="W76" s="146"/>
      <c r="AA76" s="146"/>
      <c r="AB76" s="146"/>
    </row>
    <row r="77" spans="5:28">
      <c r="E77" s="146"/>
      <c r="F77" s="146"/>
      <c r="J77" s="146"/>
      <c r="K77" s="146"/>
      <c r="O77" s="146"/>
      <c r="P77" s="146"/>
      <c r="V77" s="146"/>
      <c r="W77" s="146"/>
      <c r="AA77" s="146"/>
      <c r="AB77" s="146"/>
    </row>
    <row r="78" spans="5:28">
      <c r="E78" s="146"/>
      <c r="F78" s="146"/>
      <c r="J78" s="146"/>
      <c r="K78" s="146"/>
      <c r="O78" s="146"/>
      <c r="P78" s="146"/>
      <c r="V78" s="146"/>
      <c r="W78" s="146"/>
      <c r="AA78" s="146"/>
      <c r="AB78" s="146"/>
    </row>
    <row r="79" spans="5:28">
      <c r="E79" s="146"/>
      <c r="F79" s="146"/>
      <c r="J79" s="146"/>
      <c r="K79" s="146"/>
      <c r="O79" s="146"/>
      <c r="P79" s="146"/>
      <c r="V79" s="146"/>
      <c r="W79" s="146"/>
      <c r="AA79" s="146"/>
      <c r="AB79" s="146"/>
    </row>
    <row r="80" spans="5:28">
      <c r="E80" s="146"/>
      <c r="F80" s="146"/>
      <c r="J80" s="146"/>
      <c r="K80" s="146"/>
      <c r="O80" s="146"/>
      <c r="P80" s="146"/>
      <c r="V80" s="146"/>
      <c r="W80" s="146"/>
      <c r="AA80" s="146"/>
      <c r="AB80" s="146"/>
    </row>
    <row r="81" spans="5:28">
      <c r="E81" s="146"/>
      <c r="F81" s="146"/>
      <c r="J81" s="146"/>
      <c r="K81" s="146"/>
      <c r="O81" s="146"/>
      <c r="P81" s="146"/>
      <c r="V81" s="146"/>
      <c r="W81" s="146"/>
      <c r="AA81" s="146"/>
      <c r="AB81" s="146"/>
    </row>
    <row r="82" spans="5:28">
      <c r="E82" s="146"/>
      <c r="F82" s="146"/>
      <c r="J82" s="146"/>
      <c r="K82" s="146"/>
      <c r="O82" s="146"/>
      <c r="P82" s="146"/>
      <c r="V82" s="146"/>
      <c r="W82" s="146"/>
      <c r="AA82" s="146"/>
      <c r="AB82" s="146"/>
    </row>
    <row r="83" spans="5:28">
      <c r="E83" s="146"/>
      <c r="F83" s="146"/>
      <c r="J83" s="146"/>
      <c r="K83" s="146"/>
      <c r="O83" s="146"/>
      <c r="P83" s="146"/>
      <c r="V83" s="146"/>
      <c r="W83" s="146"/>
      <c r="AA83" s="146"/>
      <c r="AB83" s="146"/>
    </row>
    <row r="84" spans="5:28">
      <c r="E84" s="146"/>
      <c r="F84" s="146"/>
      <c r="J84" s="146"/>
      <c r="K84" s="146"/>
      <c r="O84" s="146"/>
      <c r="P84" s="146"/>
      <c r="V84" s="146"/>
      <c r="W84" s="146"/>
      <c r="AA84" s="146"/>
      <c r="AB84" s="146"/>
    </row>
    <row r="85" spans="5:28">
      <c r="E85" s="146"/>
      <c r="F85" s="146"/>
      <c r="J85" s="146"/>
      <c r="K85" s="146"/>
      <c r="O85" s="146"/>
      <c r="P85" s="146"/>
      <c r="V85" s="146"/>
      <c r="W85" s="146"/>
      <c r="AA85" s="146"/>
      <c r="AB85" s="146"/>
    </row>
    <row r="86" spans="5:28">
      <c r="E86" s="146"/>
      <c r="F86" s="146"/>
      <c r="J86" s="146"/>
      <c r="K86" s="146"/>
      <c r="O86" s="146"/>
      <c r="P86" s="146"/>
      <c r="V86" s="146"/>
      <c r="W86" s="146"/>
      <c r="AA86" s="146"/>
      <c r="AB86" s="146"/>
    </row>
    <row r="87" spans="5:28">
      <c r="E87" s="146"/>
      <c r="F87" s="146"/>
      <c r="J87" s="146"/>
      <c r="K87" s="146"/>
      <c r="O87" s="146"/>
      <c r="P87" s="146"/>
      <c r="V87" s="146"/>
      <c r="W87" s="146"/>
      <c r="AA87" s="146"/>
      <c r="AB87" s="146"/>
    </row>
    <row r="88" spans="5:28">
      <c r="E88" s="146"/>
      <c r="F88" s="146"/>
      <c r="J88" s="146"/>
      <c r="K88" s="146"/>
      <c r="O88" s="146"/>
      <c r="P88" s="146"/>
      <c r="V88" s="146"/>
      <c r="W88" s="146"/>
      <c r="AA88" s="146"/>
      <c r="AB88" s="146"/>
    </row>
    <row r="89" spans="5:28">
      <c r="E89" s="146"/>
      <c r="F89" s="146"/>
      <c r="J89" s="146"/>
      <c r="K89" s="146"/>
      <c r="O89" s="146"/>
      <c r="P89" s="146"/>
      <c r="V89" s="146"/>
      <c r="W89" s="146"/>
      <c r="AA89" s="146"/>
      <c r="AB89" s="146"/>
    </row>
    <row r="90" spans="5:28">
      <c r="E90" s="146"/>
      <c r="F90" s="146"/>
      <c r="J90" s="146"/>
      <c r="K90" s="146"/>
      <c r="O90" s="146"/>
      <c r="P90" s="146"/>
      <c r="V90" s="146"/>
      <c r="W90" s="146"/>
      <c r="AA90" s="146"/>
      <c r="AB90" s="146"/>
    </row>
    <row r="91" spans="5:28">
      <c r="E91" s="146"/>
      <c r="F91" s="146"/>
      <c r="J91" s="146"/>
      <c r="K91" s="146"/>
      <c r="O91" s="146"/>
      <c r="P91" s="146"/>
      <c r="V91" s="146"/>
      <c r="W91" s="146"/>
      <c r="AA91" s="146"/>
      <c r="AB91" s="146"/>
    </row>
    <row r="92" spans="5:28">
      <c r="E92" s="146"/>
      <c r="F92" s="146"/>
      <c r="J92" s="146"/>
      <c r="K92" s="146"/>
      <c r="O92" s="146"/>
      <c r="P92" s="146"/>
      <c r="V92" s="146"/>
      <c r="W92" s="146"/>
      <c r="AA92" s="146"/>
      <c r="AB92" s="146"/>
    </row>
    <row r="93" spans="5:28">
      <c r="E93" s="146"/>
      <c r="F93" s="146"/>
      <c r="J93" s="146"/>
      <c r="K93" s="146"/>
      <c r="O93" s="146"/>
      <c r="P93" s="146"/>
      <c r="V93" s="146"/>
      <c r="W93" s="146"/>
      <c r="AA93" s="146"/>
      <c r="AB93" s="146"/>
    </row>
    <row r="94" spans="5:28">
      <c r="E94" s="146"/>
      <c r="F94" s="146"/>
      <c r="J94" s="146"/>
      <c r="K94" s="146"/>
      <c r="O94" s="146"/>
      <c r="P94" s="146"/>
      <c r="V94" s="146"/>
      <c r="W94" s="146"/>
      <c r="AA94" s="146"/>
      <c r="AB94" s="146"/>
    </row>
    <row r="95" spans="5:28">
      <c r="E95" s="146"/>
      <c r="F95" s="146"/>
      <c r="J95" s="146"/>
      <c r="K95" s="146"/>
      <c r="O95" s="146"/>
      <c r="P95" s="146"/>
      <c r="V95" s="146"/>
      <c r="W95" s="146"/>
      <c r="AA95" s="146"/>
      <c r="AB95" s="146"/>
    </row>
    <row r="96" spans="5:28">
      <c r="E96" s="146"/>
      <c r="F96" s="146"/>
      <c r="J96" s="146"/>
      <c r="K96" s="146"/>
      <c r="O96" s="146"/>
      <c r="P96" s="146"/>
      <c r="V96" s="146"/>
      <c r="W96" s="146"/>
      <c r="AA96" s="146"/>
      <c r="AB96" s="146"/>
    </row>
    <row r="97" spans="5:28">
      <c r="E97" s="146"/>
      <c r="F97" s="146"/>
      <c r="J97" s="146"/>
      <c r="K97" s="146"/>
      <c r="O97" s="146"/>
      <c r="P97" s="146"/>
      <c r="V97" s="146"/>
      <c r="W97" s="146"/>
      <c r="AA97" s="146"/>
      <c r="AB97" s="146"/>
    </row>
  </sheetData>
  <phoneticPr fontId="2" type="noConversion"/>
  <conditionalFormatting sqref="S40:W40 Z40:AB59 E40:F60 I40:K60 N40:P60 AE40:AE64 T41:W60 S41:S64 AA60:AB60 Z60:Z64 I61:I64 N61:N64">
    <cfRule type="cellIs" dxfId="2" priority="1" operator="greaterThanOrEqual">
      <formula>2</formula>
    </cfRule>
  </conditionalFormatting>
  <pageMargins left="0.23622047244094491" right="0.23622047244094491" top="0.74803149606299213" bottom="0.74803149606299213" header="0.31496062992125984" footer="0.31496062992125984"/>
  <pageSetup paperSize="8" scale="61" fitToHeight="0" orientation="landscape" r:id="rId1"/>
  <headerFooter>
    <oddHeader>&amp;LThursday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254B7-8271-4596-9384-DB156192E626}">
  <dimension ref="A1:K113"/>
  <sheetViews>
    <sheetView zoomScale="70" zoomScaleNormal="70" workbookViewId="0">
      <selection activeCell="A20" sqref="A20"/>
    </sheetView>
  </sheetViews>
  <sheetFormatPr defaultRowHeight="16.5"/>
  <cols>
    <col min="1" max="1" width="13.625" bestFit="1" customWidth="1"/>
    <col min="2" max="2" width="22.25" bestFit="1" customWidth="1"/>
    <col min="3" max="3" width="10.875" customWidth="1"/>
    <col min="4" max="4" width="16.625" bestFit="1" customWidth="1"/>
    <col min="5" max="5" width="17.5" bestFit="1" customWidth="1"/>
    <col min="6" max="6" width="16.625" bestFit="1" customWidth="1"/>
    <col min="7" max="7" width="16.75" bestFit="1" customWidth="1"/>
    <col min="8" max="8" width="16.75" style="24" customWidth="1"/>
    <col min="9" max="9" width="15.5" customWidth="1"/>
    <col min="10" max="10" width="17.75" customWidth="1"/>
    <col min="11" max="11" width="19.5" bestFit="1" customWidth="1"/>
  </cols>
  <sheetData>
    <row r="1" spans="1:11">
      <c r="A1" s="16" t="s">
        <v>274</v>
      </c>
      <c r="B1" s="16" t="s">
        <v>275</v>
      </c>
      <c r="C1" s="16" t="s">
        <v>276</v>
      </c>
      <c r="D1" s="16" t="s">
        <v>277</v>
      </c>
      <c r="E1" s="16" t="s">
        <v>278</v>
      </c>
      <c r="F1" s="16" t="s">
        <v>279</v>
      </c>
      <c r="G1" s="16" t="s">
        <v>284</v>
      </c>
      <c r="H1" s="22" t="s">
        <v>280</v>
      </c>
      <c r="I1" s="22" t="s">
        <v>282</v>
      </c>
      <c r="J1" s="22" t="s">
        <v>283</v>
      </c>
      <c r="K1" s="22" t="s">
        <v>285</v>
      </c>
    </row>
    <row r="2" spans="1:11">
      <c r="A2" s="16" t="s">
        <v>56</v>
      </c>
      <c r="B2" s="16" t="s">
        <v>224</v>
      </c>
      <c r="C2" s="16" t="s">
        <v>225</v>
      </c>
      <c r="D2" s="16"/>
      <c r="E2" s="16"/>
      <c r="F2" s="16"/>
      <c r="G2" s="22">
        <v>4</v>
      </c>
      <c r="H2" s="22">
        <v>35</v>
      </c>
      <c r="I2" s="16"/>
      <c r="J2" s="16"/>
      <c r="K2" s="16"/>
    </row>
    <row r="3" spans="1:11">
      <c r="A3" s="16" t="s">
        <v>60</v>
      </c>
      <c r="B3" s="16" t="s">
        <v>224</v>
      </c>
      <c r="C3" s="16" t="s">
        <v>225</v>
      </c>
      <c r="D3" s="16"/>
      <c r="E3" s="16"/>
      <c r="F3" s="16"/>
      <c r="G3" s="22">
        <v>4</v>
      </c>
      <c r="H3" s="22">
        <v>34</v>
      </c>
      <c r="I3" s="16"/>
      <c r="J3" s="16"/>
      <c r="K3" s="16"/>
    </row>
    <row r="4" spans="1:11">
      <c r="A4" s="16" t="s">
        <v>61</v>
      </c>
      <c r="B4" s="16" t="s">
        <v>224</v>
      </c>
      <c r="C4" s="16" t="s">
        <v>225</v>
      </c>
      <c r="D4" s="16"/>
      <c r="E4" s="16"/>
      <c r="F4" s="16"/>
      <c r="G4" s="22">
        <v>4</v>
      </c>
      <c r="H4" s="22">
        <v>35</v>
      </c>
      <c r="I4" s="16"/>
      <c r="J4" s="16"/>
      <c r="K4" s="16"/>
    </row>
    <row r="5" spans="1:11">
      <c r="A5" s="16" t="s">
        <v>63</v>
      </c>
      <c r="B5" s="16" t="s">
        <v>224</v>
      </c>
      <c r="C5" s="16" t="s">
        <v>225</v>
      </c>
      <c r="D5" s="16"/>
      <c r="E5" s="16"/>
      <c r="F5" s="16"/>
      <c r="G5" s="22">
        <v>4</v>
      </c>
      <c r="H5" s="22">
        <v>46</v>
      </c>
      <c r="I5" s="16"/>
      <c r="J5" s="16"/>
      <c r="K5" s="16"/>
    </row>
    <row r="6" spans="1:11">
      <c r="A6" s="16" t="s">
        <v>65</v>
      </c>
      <c r="B6" s="16" t="s">
        <v>224</v>
      </c>
      <c r="C6" s="16" t="s">
        <v>225</v>
      </c>
      <c r="D6" s="16"/>
      <c r="E6" s="16"/>
      <c r="F6" s="16"/>
      <c r="G6" s="22">
        <v>4</v>
      </c>
      <c r="H6" s="22">
        <v>51</v>
      </c>
      <c r="I6" s="16"/>
      <c r="J6" s="16"/>
      <c r="K6" s="16"/>
    </row>
    <row r="7" spans="1:11">
      <c r="A7" s="16" t="s">
        <v>66</v>
      </c>
      <c r="B7" s="16" t="s">
        <v>224</v>
      </c>
      <c r="C7" s="16" t="s">
        <v>225</v>
      </c>
      <c r="D7" s="16"/>
      <c r="E7" s="16"/>
      <c r="F7" s="16"/>
      <c r="G7" s="22">
        <v>4</v>
      </c>
      <c r="H7" s="22">
        <v>53</v>
      </c>
      <c r="I7" s="16"/>
      <c r="J7" s="16"/>
      <c r="K7" s="16"/>
    </row>
    <row r="8" spans="1:11">
      <c r="A8" s="16" t="s">
        <v>67</v>
      </c>
      <c r="B8" s="16" t="s">
        <v>224</v>
      </c>
      <c r="C8" s="16" t="s">
        <v>225</v>
      </c>
      <c r="D8" s="16"/>
      <c r="E8" s="16"/>
      <c r="F8" s="16"/>
      <c r="G8" s="22">
        <v>4</v>
      </c>
      <c r="H8" s="22">
        <v>42</v>
      </c>
      <c r="I8" s="16"/>
      <c r="J8" s="16"/>
      <c r="K8" s="16"/>
    </row>
    <row r="9" spans="1:11">
      <c r="A9" s="16" t="s">
        <v>69</v>
      </c>
      <c r="B9" s="16" t="s">
        <v>224</v>
      </c>
      <c r="C9" s="16" t="s">
        <v>225</v>
      </c>
      <c r="D9" s="16"/>
      <c r="E9" s="16"/>
      <c r="F9" s="16"/>
      <c r="G9" s="22">
        <v>4</v>
      </c>
      <c r="H9" s="22">
        <v>42</v>
      </c>
      <c r="I9" s="16"/>
      <c r="J9" s="16"/>
      <c r="K9" s="16"/>
    </row>
    <row r="10" spans="1:11">
      <c r="A10" s="16" t="s">
        <v>70</v>
      </c>
      <c r="B10" s="16" t="s">
        <v>224</v>
      </c>
      <c r="C10" s="16" t="s">
        <v>225</v>
      </c>
      <c r="D10" s="16"/>
      <c r="E10" s="16"/>
      <c r="F10" s="16"/>
      <c r="G10" s="22">
        <v>4</v>
      </c>
      <c r="H10" s="22">
        <v>34</v>
      </c>
      <c r="I10" s="16"/>
      <c r="J10" s="16"/>
      <c r="K10" s="16"/>
    </row>
    <row r="11" spans="1:11">
      <c r="A11" s="16" t="s">
        <v>71</v>
      </c>
      <c r="B11" s="16" t="s">
        <v>224</v>
      </c>
      <c r="C11" s="16" t="s">
        <v>225</v>
      </c>
      <c r="D11" s="16"/>
      <c r="E11" s="16"/>
      <c r="F11" s="16"/>
      <c r="G11" s="22">
        <v>4</v>
      </c>
      <c r="H11" s="22">
        <v>33</v>
      </c>
      <c r="I11" s="16"/>
      <c r="J11" s="16"/>
      <c r="K11" s="16"/>
    </row>
    <row r="12" spans="1:11">
      <c r="A12" s="16" t="s">
        <v>73</v>
      </c>
      <c r="B12" s="16" t="s">
        <v>224</v>
      </c>
      <c r="C12" s="16" t="s">
        <v>225</v>
      </c>
      <c r="D12" s="16"/>
      <c r="E12" s="16"/>
      <c r="F12" s="16"/>
      <c r="G12" s="22">
        <v>4</v>
      </c>
      <c r="H12" s="22">
        <v>32</v>
      </c>
      <c r="I12" s="16"/>
      <c r="J12" s="16"/>
      <c r="K12" s="16"/>
    </row>
    <row r="13" spans="1:11">
      <c r="A13" s="16" t="s">
        <v>74</v>
      </c>
      <c r="B13" s="16" t="s">
        <v>224</v>
      </c>
      <c r="C13" s="16" t="s">
        <v>225</v>
      </c>
      <c r="D13" s="16"/>
      <c r="E13" s="16"/>
      <c r="F13" s="16"/>
      <c r="G13" s="22">
        <v>4</v>
      </c>
      <c r="H13" s="22">
        <v>32</v>
      </c>
      <c r="I13" s="16"/>
      <c r="J13" s="16"/>
      <c r="K13" s="16"/>
    </row>
    <row r="14" spans="1:11">
      <c r="A14" s="16" t="s">
        <v>76</v>
      </c>
      <c r="B14" s="16" t="s">
        <v>224</v>
      </c>
      <c r="C14" s="16" t="s">
        <v>225</v>
      </c>
      <c r="D14" s="16"/>
      <c r="E14" s="16"/>
      <c r="F14" s="16"/>
      <c r="G14" s="22">
        <v>4</v>
      </c>
      <c r="H14" s="22">
        <v>43</v>
      </c>
      <c r="I14" s="16"/>
      <c r="J14" s="16"/>
      <c r="K14" s="16"/>
    </row>
    <row r="15" spans="1:11">
      <c r="A15" s="16" t="s">
        <v>78</v>
      </c>
      <c r="B15" s="16" t="s">
        <v>224</v>
      </c>
      <c r="C15" s="16" t="s">
        <v>225</v>
      </c>
      <c r="D15" s="16"/>
      <c r="E15" s="16"/>
      <c r="F15" s="16"/>
      <c r="G15" s="22">
        <v>4</v>
      </c>
      <c r="H15" s="22">
        <v>34</v>
      </c>
      <c r="I15" s="16"/>
      <c r="J15" s="16"/>
      <c r="K15" s="16"/>
    </row>
    <row r="16" spans="1:11">
      <c r="A16" s="16" t="s">
        <v>79</v>
      </c>
      <c r="B16" s="16" t="s">
        <v>224</v>
      </c>
      <c r="C16" s="16" t="s">
        <v>225</v>
      </c>
      <c r="D16" s="16"/>
      <c r="E16" s="16"/>
      <c r="F16" s="16"/>
      <c r="G16" s="22">
        <v>4</v>
      </c>
      <c r="H16" s="22">
        <v>20</v>
      </c>
      <c r="I16" s="16"/>
      <c r="J16" s="16"/>
      <c r="K16" s="16"/>
    </row>
    <row r="17" spans="1:11">
      <c r="A17" s="16" t="s">
        <v>81</v>
      </c>
      <c r="B17" s="16" t="s">
        <v>224</v>
      </c>
      <c r="C17" s="16" t="s">
        <v>225</v>
      </c>
      <c r="D17" s="16"/>
      <c r="E17" s="16"/>
      <c r="F17" s="16"/>
      <c r="G17" s="22">
        <v>4</v>
      </c>
      <c r="H17" s="22">
        <v>19</v>
      </c>
      <c r="I17" s="16"/>
      <c r="J17" s="16"/>
      <c r="K17" s="16"/>
    </row>
    <row r="18" spans="1:11">
      <c r="A18" s="16" t="s">
        <v>82</v>
      </c>
      <c r="B18" s="16" t="s">
        <v>224</v>
      </c>
      <c r="C18" s="16" t="s">
        <v>225</v>
      </c>
      <c r="D18" s="16"/>
      <c r="E18" s="16"/>
      <c r="F18" s="16"/>
      <c r="G18" s="22">
        <v>4</v>
      </c>
      <c r="H18" s="22">
        <v>18</v>
      </c>
      <c r="I18" s="16"/>
      <c r="J18" s="16"/>
      <c r="K18" s="16"/>
    </row>
    <row r="19" spans="1:11">
      <c r="A19" s="16" t="s">
        <v>83</v>
      </c>
      <c r="B19" s="16" t="s">
        <v>224</v>
      </c>
      <c r="C19" s="16" t="s">
        <v>225</v>
      </c>
      <c r="D19" s="16"/>
      <c r="E19" s="16"/>
      <c r="F19" s="16"/>
      <c r="G19" s="22">
        <v>4</v>
      </c>
      <c r="H19" s="22">
        <v>17</v>
      </c>
      <c r="I19" s="16"/>
      <c r="J19" s="16"/>
      <c r="K19" s="16"/>
    </row>
    <row r="20" spans="1:11">
      <c r="A20" s="16" t="s">
        <v>84</v>
      </c>
      <c r="B20" s="16" t="s">
        <v>224</v>
      </c>
      <c r="C20" s="16" t="s">
        <v>225</v>
      </c>
      <c r="D20" s="16"/>
      <c r="E20" s="16"/>
      <c r="F20" s="16"/>
      <c r="G20" s="22">
        <v>4</v>
      </c>
      <c r="H20" s="22">
        <v>34</v>
      </c>
      <c r="I20" s="16"/>
      <c r="J20" s="16"/>
      <c r="K20" s="16"/>
    </row>
    <row r="21" spans="1:11">
      <c r="A21" s="16" t="s">
        <v>85</v>
      </c>
      <c r="B21" s="16" t="s">
        <v>224</v>
      </c>
      <c r="C21" s="16" t="s">
        <v>225</v>
      </c>
      <c r="D21" s="16"/>
      <c r="E21" s="16"/>
      <c r="F21" s="16"/>
      <c r="G21" s="22">
        <v>4</v>
      </c>
      <c r="H21" s="22">
        <v>36</v>
      </c>
      <c r="I21" s="16"/>
      <c r="J21" s="16"/>
      <c r="K21" s="16"/>
    </row>
    <row r="22" spans="1:11">
      <c r="A22" s="16" t="s">
        <v>86</v>
      </c>
      <c r="B22" s="16" t="s">
        <v>224</v>
      </c>
      <c r="C22" s="16" t="s">
        <v>225</v>
      </c>
      <c r="D22" s="16"/>
      <c r="E22" s="16"/>
      <c r="F22" s="16"/>
      <c r="G22" s="22">
        <v>4</v>
      </c>
      <c r="H22" s="22">
        <v>38</v>
      </c>
      <c r="I22" s="16"/>
      <c r="J22" s="16"/>
      <c r="K22" s="16"/>
    </row>
    <row r="23" spans="1:11">
      <c r="A23" s="16" t="s">
        <v>87</v>
      </c>
      <c r="B23" s="16" t="s">
        <v>224</v>
      </c>
      <c r="C23" s="16" t="s">
        <v>225</v>
      </c>
      <c r="D23" s="16"/>
      <c r="E23" s="16"/>
      <c r="F23" s="16"/>
      <c r="G23" s="22">
        <v>4</v>
      </c>
      <c r="H23" s="22">
        <v>34</v>
      </c>
      <c r="I23" s="16"/>
      <c r="J23" s="16"/>
      <c r="K23" s="16"/>
    </row>
    <row r="24" spans="1:11">
      <c r="A24" s="16" t="s">
        <v>88</v>
      </c>
      <c r="B24" s="16" t="s">
        <v>224</v>
      </c>
      <c r="C24" s="16" t="s">
        <v>225</v>
      </c>
      <c r="D24" s="16"/>
      <c r="E24" s="16"/>
      <c r="F24" s="16"/>
      <c r="G24" s="22">
        <v>4</v>
      </c>
      <c r="H24" s="22">
        <v>38</v>
      </c>
      <c r="I24" s="16"/>
      <c r="J24" s="16"/>
      <c r="K24" s="16"/>
    </row>
    <row r="25" spans="1:11">
      <c r="A25" s="16" t="s">
        <v>89</v>
      </c>
      <c r="B25" s="16" t="s">
        <v>224</v>
      </c>
      <c r="C25" s="16" t="s">
        <v>225</v>
      </c>
      <c r="D25" s="16"/>
      <c r="E25" s="16"/>
      <c r="F25" s="16"/>
      <c r="G25" s="22">
        <v>4</v>
      </c>
      <c r="H25" s="22">
        <v>32</v>
      </c>
      <c r="I25" s="16"/>
      <c r="J25" s="16"/>
      <c r="K25" s="16"/>
    </row>
    <row r="26" spans="1:11">
      <c r="A26" s="16" t="s">
        <v>90</v>
      </c>
      <c r="B26" s="16" t="s">
        <v>224</v>
      </c>
      <c r="C26" s="16" t="s">
        <v>225</v>
      </c>
      <c r="D26" s="16"/>
      <c r="E26" s="16"/>
      <c r="F26" s="16"/>
      <c r="G26" s="22">
        <v>4</v>
      </c>
      <c r="H26" s="22">
        <v>28</v>
      </c>
      <c r="I26" s="16"/>
      <c r="J26" s="16"/>
      <c r="K26" s="16"/>
    </row>
    <row r="27" spans="1:11">
      <c r="A27" s="16" t="s">
        <v>91</v>
      </c>
      <c r="B27" s="16" t="s">
        <v>224</v>
      </c>
      <c r="C27" s="16" t="s">
        <v>225</v>
      </c>
      <c r="D27" s="16"/>
      <c r="E27" s="16"/>
      <c r="F27" s="16"/>
      <c r="G27" s="22">
        <v>4</v>
      </c>
      <c r="H27" s="22">
        <v>34</v>
      </c>
      <c r="I27" s="16"/>
      <c r="J27" s="16"/>
      <c r="K27" s="16"/>
    </row>
    <row r="28" spans="1:11">
      <c r="A28" s="16" t="s">
        <v>92</v>
      </c>
      <c r="B28" s="16" t="s">
        <v>224</v>
      </c>
      <c r="C28" s="16" t="s">
        <v>225</v>
      </c>
      <c r="D28" s="16"/>
      <c r="E28" s="16"/>
      <c r="F28" s="16"/>
      <c r="G28" s="22">
        <v>4</v>
      </c>
      <c r="H28" s="22">
        <v>34</v>
      </c>
      <c r="I28" s="16"/>
      <c r="J28" s="16"/>
      <c r="K28" s="16"/>
    </row>
    <row r="29" spans="1:11">
      <c r="A29" s="16" t="s">
        <v>93</v>
      </c>
      <c r="B29" s="16" t="s">
        <v>224</v>
      </c>
      <c r="C29" s="16" t="s">
        <v>225</v>
      </c>
      <c r="D29" s="16"/>
      <c r="E29" s="16"/>
      <c r="F29" s="16"/>
      <c r="G29" s="22">
        <v>4</v>
      </c>
      <c r="H29" s="22">
        <v>34</v>
      </c>
      <c r="I29" s="16"/>
      <c r="J29" s="16"/>
      <c r="K29" s="16"/>
    </row>
    <row r="30" spans="1:11">
      <c r="A30" s="16" t="s">
        <v>94</v>
      </c>
      <c r="B30" s="16" t="s">
        <v>246</v>
      </c>
      <c r="C30" s="16" t="s">
        <v>247</v>
      </c>
      <c r="D30" s="22"/>
      <c r="E30" s="22"/>
      <c r="F30" s="22"/>
      <c r="G30" s="22">
        <v>4</v>
      </c>
      <c r="H30" s="22">
        <v>35</v>
      </c>
      <c r="I30" s="16"/>
      <c r="J30" s="16"/>
      <c r="K30" s="16"/>
    </row>
    <row r="31" spans="1:11">
      <c r="A31" s="16" t="s">
        <v>97</v>
      </c>
      <c r="B31" s="16" t="s">
        <v>246</v>
      </c>
      <c r="C31" s="16" t="s">
        <v>247</v>
      </c>
      <c r="D31" s="22"/>
      <c r="E31" s="22"/>
      <c r="F31" s="22"/>
      <c r="G31" s="22">
        <v>4</v>
      </c>
      <c r="H31" s="22">
        <v>34</v>
      </c>
      <c r="I31" s="16"/>
      <c r="J31" s="16"/>
      <c r="K31" s="16"/>
    </row>
    <row r="32" spans="1:11">
      <c r="A32" s="16" t="s">
        <v>98</v>
      </c>
      <c r="B32" s="16" t="s">
        <v>246</v>
      </c>
      <c r="C32" s="16" t="s">
        <v>247</v>
      </c>
      <c r="D32" s="22"/>
      <c r="E32" s="22"/>
      <c r="F32" s="22"/>
      <c r="G32" s="22">
        <v>4</v>
      </c>
      <c r="H32" s="22">
        <v>35</v>
      </c>
      <c r="I32" s="16"/>
      <c r="J32" s="16"/>
      <c r="K32" s="16"/>
    </row>
    <row r="33" spans="1:11">
      <c r="A33" s="16" t="s">
        <v>99</v>
      </c>
      <c r="B33" s="16" t="s">
        <v>246</v>
      </c>
      <c r="C33" s="16" t="s">
        <v>247</v>
      </c>
      <c r="D33" s="22"/>
      <c r="E33" s="22"/>
      <c r="F33" s="22"/>
      <c r="G33" s="22">
        <v>4</v>
      </c>
      <c r="H33" s="22">
        <v>46</v>
      </c>
      <c r="I33" s="16"/>
      <c r="J33" s="16"/>
      <c r="K33" s="16"/>
    </row>
    <row r="34" spans="1:11">
      <c r="A34" s="16" t="s">
        <v>103</v>
      </c>
      <c r="B34" s="16" t="s">
        <v>246</v>
      </c>
      <c r="C34" s="16" t="s">
        <v>247</v>
      </c>
      <c r="D34" s="22"/>
      <c r="E34" s="22"/>
      <c r="F34" s="22"/>
      <c r="G34" s="22">
        <v>4</v>
      </c>
      <c r="H34" s="22">
        <v>51</v>
      </c>
      <c r="I34" s="16"/>
      <c r="J34" s="16"/>
      <c r="K34" s="16"/>
    </row>
    <row r="35" spans="1:11">
      <c r="A35" s="16" t="s">
        <v>104</v>
      </c>
      <c r="B35" s="16" t="s">
        <v>246</v>
      </c>
      <c r="C35" s="16" t="s">
        <v>247</v>
      </c>
      <c r="D35" s="22"/>
      <c r="E35" s="22"/>
      <c r="F35" s="22"/>
      <c r="G35" s="22">
        <v>4</v>
      </c>
      <c r="H35" s="22">
        <v>53</v>
      </c>
      <c r="I35" s="16"/>
      <c r="J35" s="16"/>
      <c r="K35" s="16"/>
    </row>
    <row r="36" spans="1:11">
      <c r="A36" s="16" t="s">
        <v>106</v>
      </c>
      <c r="B36" s="16" t="s">
        <v>246</v>
      </c>
      <c r="C36" s="16" t="s">
        <v>247</v>
      </c>
      <c r="D36" s="22"/>
      <c r="E36" s="22"/>
      <c r="F36" s="22"/>
      <c r="G36" s="22">
        <v>4</v>
      </c>
      <c r="H36" s="22">
        <v>42</v>
      </c>
      <c r="I36" s="16"/>
      <c r="J36" s="16"/>
      <c r="K36" s="16"/>
    </row>
    <row r="37" spans="1:11">
      <c r="A37" s="16" t="s">
        <v>107</v>
      </c>
      <c r="B37" s="16" t="s">
        <v>246</v>
      </c>
      <c r="C37" s="16" t="s">
        <v>247</v>
      </c>
      <c r="D37" s="22"/>
      <c r="E37" s="22"/>
      <c r="F37" s="22"/>
      <c r="G37" s="22">
        <v>4</v>
      </c>
      <c r="H37" s="22">
        <v>42</v>
      </c>
      <c r="I37" s="16"/>
      <c r="J37" s="16"/>
      <c r="K37" s="16"/>
    </row>
    <row r="38" spans="1:11">
      <c r="A38" s="16" t="s">
        <v>108</v>
      </c>
      <c r="B38" s="16" t="s">
        <v>246</v>
      </c>
      <c r="C38" s="16" t="s">
        <v>247</v>
      </c>
      <c r="D38" s="22"/>
      <c r="E38" s="22"/>
      <c r="F38" s="22"/>
      <c r="G38" s="22">
        <v>4</v>
      </c>
      <c r="H38" s="22">
        <v>34</v>
      </c>
      <c r="I38" s="16"/>
      <c r="J38" s="16"/>
      <c r="K38" s="16"/>
    </row>
    <row r="39" spans="1:11">
      <c r="A39" s="16" t="s">
        <v>109</v>
      </c>
      <c r="B39" s="16" t="s">
        <v>246</v>
      </c>
      <c r="C39" s="16" t="s">
        <v>247</v>
      </c>
      <c r="D39" s="22"/>
      <c r="E39" s="22"/>
      <c r="F39" s="22"/>
      <c r="G39" s="22">
        <v>4</v>
      </c>
      <c r="H39" s="22">
        <v>33</v>
      </c>
      <c r="I39" s="16"/>
      <c r="J39" s="16"/>
      <c r="K39" s="16"/>
    </row>
    <row r="40" spans="1:11">
      <c r="A40" s="16" t="s">
        <v>111</v>
      </c>
      <c r="B40" s="16" t="s">
        <v>246</v>
      </c>
      <c r="C40" s="16" t="s">
        <v>247</v>
      </c>
      <c r="D40" s="22"/>
      <c r="E40" s="22"/>
      <c r="F40" s="22"/>
      <c r="G40" s="22">
        <v>4</v>
      </c>
      <c r="H40" s="22">
        <v>32</v>
      </c>
      <c r="I40" s="16"/>
      <c r="J40" s="16"/>
      <c r="K40" s="16"/>
    </row>
    <row r="41" spans="1:11">
      <c r="A41" s="16" t="s">
        <v>112</v>
      </c>
      <c r="B41" s="16" t="s">
        <v>246</v>
      </c>
      <c r="C41" s="16" t="s">
        <v>247</v>
      </c>
      <c r="D41" s="22"/>
      <c r="E41" s="22"/>
      <c r="F41" s="22"/>
      <c r="G41" s="22">
        <v>4</v>
      </c>
      <c r="H41" s="22">
        <v>32</v>
      </c>
      <c r="I41" s="16"/>
      <c r="J41" s="16"/>
      <c r="K41" s="16"/>
    </row>
    <row r="42" spans="1:11">
      <c r="A42" s="16" t="s">
        <v>113</v>
      </c>
      <c r="B42" s="16" t="s">
        <v>246</v>
      </c>
      <c r="C42" s="16" t="s">
        <v>247</v>
      </c>
      <c r="D42" s="22"/>
      <c r="E42" s="22"/>
      <c r="F42" s="22"/>
      <c r="G42" s="22">
        <v>4</v>
      </c>
      <c r="H42" s="22">
        <v>43</v>
      </c>
      <c r="I42" s="16"/>
      <c r="J42" s="16"/>
      <c r="K42" s="16"/>
    </row>
    <row r="43" spans="1:11">
      <c r="A43" s="16" t="s">
        <v>114</v>
      </c>
      <c r="B43" s="16" t="s">
        <v>246</v>
      </c>
      <c r="C43" s="16" t="s">
        <v>247</v>
      </c>
      <c r="D43" s="22"/>
      <c r="E43" s="22"/>
      <c r="F43" s="22"/>
      <c r="G43" s="22">
        <v>4</v>
      </c>
      <c r="H43" s="22">
        <v>34</v>
      </c>
      <c r="I43" s="16"/>
      <c r="J43" s="16"/>
      <c r="K43" s="16"/>
    </row>
    <row r="44" spans="1:11">
      <c r="A44" s="16" t="s">
        <v>115</v>
      </c>
      <c r="B44" s="16" t="s">
        <v>246</v>
      </c>
      <c r="C44" s="16" t="s">
        <v>247</v>
      </c>
      <c r="D44" s="22"/>
      <c r="E44" s="22"/>
      <c r="F44" s="22"/>
      <c r="G44" s="22">
        <v>4</v>
      </c>
      <c r="H44" s="22">
        <v>39</v>
      </c>
      <c r="I44" s="16"/>
      <c r="J44" s="16"/>
      <c r="K44" s="16"/>
    </row>
    <row r="45" spans="1:11">
      <c r="A45" s="16" t="s">
        <v>116</v>
      </c>
      <c r="B45" s="16" t="s">
        <v>246</v>
      </c>
      <c r="C45" s="16" t="s">
        <v>247</v>
      </c>
      <c r="D45" s="22"/>
      <c r="E45" s="22"/>
      <c r="F45" s="22"/>
      <c r="G45" s="22">
        <v>4</v>
      </c>
      <c r="H45" s="22">
        <v>35</v>
      </c>
      <c r="I45" s="16"/>
      <c r="J45" s="16"/>
      <c r="K45" s="16"/>
    </row>
    <row r="46" spans="1:11">
      <c r="A46" s="16" t="s">
        <v>117</v>
      </c>
      <c r="B46" s="16" t="s">
        <v>246</v>
      </c>
      <c r="C46" s="16" t="s">
        <v>247</v>
      </c>
      <c r="D46" s="22"/>
      <c r="E46" s="22"/>
      <c r="F46" s="22"/>
      <c r="G46" s="22">
        <v>4</v>
      </c>
      <c r="H46" s="22">
        <v>34</v>
      </c>
      <c r="I46" s="16"/>
      <c r="J46" s="16"/>
      <c r="K46" s="16"/>
    </row>
    <row r="47" spans="1:11">
      <c r="A47" s="16" t="s">
        <v>118</v>
      </c>
      <c r="B47" s="16" t="s">
        <v>246</v>
      </c>
      <c r="C47" s="16" t="s">
        <v>247</v>
      </c>
      <c r="D47" s="22"/>
      <c r="E47" s="22"/>
      <c r="F47" s="22"/>
      <c r="G47" s="22">
        <v>4</v>
      </c>
      <c r="H47" s="22">
        <v>36</v>
      </c>
      <c r="I47" s="16"/>
      <c r="J47" s="16"/>
      <c r="K47" s="16"/>
    </row>
    <row r="48" spans="1:11">
      <c r="A48" s="16" t="s">
        <v>119</v>
      </c>
      <c r="B48" s="16" t="s">
        <v>246</v>
      </c>
      <c r="C48" s="16" t="s">
        <v>247</v>
      </c>
      <c r="D48" s="22"/>
      <c r="E48" s="22"/>
      <c r="F48" s="22"/>
      <c r="G48" s="22">
        <v>4</v>
      </c>
      <c r="H48" s="22">
        <v>38</v>
      </c>
      <c r="I48" s="16"/>
      <c r="J48" s="16"/>
      <c r="K48" s="16"/>
    </row>
    <row r="49" spans="1:11">
      <c r="A49" s="16" t="s">
        <v>120</v>
      </c>
      <c r="B49" s="16" t="s">
        <v>246</v>
      </c>
      <c r="C49" s="16" t="s">
        <v>247</v>
      </c>
      <c r="D49" s="22"/>
      <c r="E49" s="22"/>
      <c r="F49" s="22"/>
      <c r="G49" s="22">
        <v>4</v>
      </c>
      <c r="H49" s="22">
        <v>34</v>
      </c>
      <c r="I49" s="16"/>
      <c r="J49" s="16"/>
      <c r="K49" s="16"/>
    </row>
    <row r="50" spans="1:11">
      <c r="A50" s="16" t="s">
        <v>121</v>
      </c>
      <c r="B50" s="16" t="s">
        <v>246</v>
      </c>
      <c r="C50" s="16" t="s">
        <v>247</v>
      </c>
      <c r="D50" s="22"/>
      <c r="E50" s="22"/>
      <c r="F50" s="22"/>
      <c r="G50" s="22">
        <v>4</v>
      </c>
      <c r="H50" s="22">
        <v>38</v>
      </c>
      <c r="I50" s="16"/>
      <c r="J50" s="16"/>
      <c r="K50" s="16"/>
    </row>
    <row r="51" spans="1:11">
      <c r="A51" s="16" t="s">
        <v>122</v>
      </c>
      <c r="B51" s="16" t="s">
        <v>246</v>
      </c>
      <c r="C51" s="16" t="s">
        <v>247</v>
      </c>
      <c r="D51" s="22"/>
      <c r="E51" s="22"/>
      <c r="F51" s="22"/>
      <c r="G51" s="22">
        <v>4</v>
      </c>
      <c r="H51" s="22">
        <v>32</v>
      </c>
      <c r="I51" s="16"/>
      <c r="J51" s="16"/>
      <c r="K51" s="16"/>
    </row>
    <row r="52" spans="1:11">
      <c r="A52" s="16" t="s">
        <v>123</v>
      </c>
      <c r="B52" s="16" t="s">
        <v>246</v>
      </c>
      <c r="C52" s="16" t="s">
        <v>247</v>
      </c>
      <c r="D52" s="22"/>
      <c r="E52" s="22"/>
      <c r="F52" s="22"/>
      <c r="G52" s="22">
        <v>4</v>
      </c>
      <c r="H52" s="22">
        <v>28</v>
      </c>
      <c r="I52" s="16"/>
      <c r="J52" s="16"/>
      <c r="K52" s="16"/>
    </row>
    <row r="53" spans="1:11">
      <c r="A53" s="16" t="s">
        <v>124</v>
      </c>
      <c r="B53" s="16" t="s">
        <v>246</v>
      </c>
      <c r="C53" s="16" t="s">
        <v>247</v>
      </c>
      <c r="D53" s="22"/>
      <c r="E53" s="22"/>
      <c r="F53" s="22"/>
      <c r="G53" s="22">
        <v>4</v>
      </c>
      <c r="H53" s="22">
        <v>34</v>
      </c>
      <c r="I53" s="16"/>
      <c r="J53" s="16"/>
      <c r="K53" s="16"/>
    </row>
    <row r="54" spans="1:11">
      <c r="A54" s="16" t="s">
        <v>125</v>
      </c>
      <c r="B54" s="16" t="s">
        <v>246</v>
      </c>
      <c r="C54" s="16" t="s">
        <v>247</v>
      </c>
      <c r="D54" s="22"/>
      <c r="E54" s="22"/>
      <c r="F54" s="22"/>
      <c r="G54" s="22">
        <v>4</v>
      </c>
      <c r="H54" s="22">
        <v>34</v>
      </c>
      <c r="I54" s="16"/>
      <c r="J54" s="16"/>
      <c r="K54" s="16"/>
    </row>
    <row r="55" spans="1:11">
      <c r="A55" s="16" t="s">
        <v>126</v>
      </c>
      <c r="B55" s="16" t="s">
        <v>246</v>
      </c>
      <c r="C55" s="16" t="s">
        <v>247</v>
      </c>
      <c r="D55" s="22"/>
      <c r="E55" s="22"/>
      <c r="F55" s="22"/>
      <c r="G55" s="22">
        <v>4</v>
      </c>
      <c r="H55" s="22">
        <v>34</v>
      </c>
      <c r="I55" s="16"/>
      <c r="J55" s="16"/>
      <c r="K55" s="16"/>
    </row>
    <row r="56" spans="1:11">
      <c r="A56" s="16" t="s">
        <v>214</v>
      </c>
      <c r="B56" s="16" t="s">
        <v>215</v>
      </c>
      <c r="C56" s="16" t="s">
        <v>216</v>
      </c>
      <c r="D56" s="16"/>
      <c r="E56" s="16"/>
      <c r="F56" s="16"/>
      <c r="G56" s="22">
        <v>2</v>
      </c>
      <c r="H56" s="22">
        <v>35</v>
      </c>
      <c r="I56" s="16"/>
      <c r="J56" s="16"/>
      <c r="K56" s="16"/>
    </row>
    <row r="57" spans="1:11">
      <c r="A57" s="16" t="s">
        <v>130</v>
      </c>
      <c r="B57" s="16" t="s">
        <v>215</v>
      </c>
      <c r="C57" s="16" t="s">
        <v>216</v>
      </c>
      <c r="D57" s="16"/>
      <c r="E57" s="16"/>
      <c r="F57" s="16"/>
      <c r="G57" s="22">
        <v>2</v>
      </c>
      <c r="H57" s="22">
        <v>34</v>
      </c>
      <c r="I57" s="16"/>
      <c r="J57" s="16"/>
      <c r="K57" s="16"/>
    </row>
    <row r="58" spans="1:11">
      <c r="A58" s="16" t="s">
        <v>132</v>
      </c>
      <c r="B58" s="16" t="s">
        <v>215</v>
      </c>
      <c r="C58" s="16" t="s">
        <v>216</v>
      </c>
      <c r="D58" s="16"/>
      <c r="E58" s="16"/>
      <c r="F58" s="16"/>
      <c r="G58" s="22">
        <v>2</v>
      </c>
      <c r="H58" s="22">
        <v>35</v>
      </c>
      <c r="I58" s="16"/>
      <c r="J58" s="16"/>
      <c r="K58" s="16"/>
    </row>
    <row r="59" spans="1:11">
      <c r="A59" s="16" t="s">
        <v>134</v>
      </c>
      <c r="B59" s="16" t="s">
        <v>215</v>
      </c>
      <c r="C59" s="16" t="s">
        <v>216</v>
      </c>
      <c r="D59" s="16"/>
      <c r="E59" s="16"/>
      <c r="F59" s="16"/>
      <c r="G59" s="22">
        <v>2</v>
      </c>
      <c r="H59" s="22">
        <v>46</v>
      </c>
      <c r="I59" s="16"/>
      <c r="J59" s="16"/>
      <c r="K59" s="16"/>
    </row>
    <row r="60" spans="1:11">
      <c r="A60" s="16" t="s">
        <v>135</v>
      </c>
      <c r="B60" s="16" t="s">
        <v>215</v>
      </c>
      <c r="C60" s="16" t="s">
        <v>216</v>
      </c>
      <c r="D60" s="16"/>
      <c r="E60" s="16"/>
      <c r="F60" s="16"/>
      <c r="G60" s="22">
        <v>2</v>
      </c>
      <c r="H60" s="22">
        <v>51</v>
      </c>
      <c r="I60" s="16"/>
      <c r="J60" s="16"/>
      <c r="K60" s="16"/>
    </row>
    <row r="61" spans="1:11">
      <c r="A61" s="16" t="s">
        <v>136</v>
      </c>
      <c r="B61" s="16" t="s">
        <v>215</v>
      </c>
      <c r="C61" s="16" t="s">
        <v>216</v>
      </c>
      <c r="D61" s="16"/>
      <c r="E61" s="16"/>
      <c r="F61" s="16"/>
      <c r="G61" s="22">
        <v>2</v>
      </c>
      <c r="H61" s="22">
        <v>53</v>
      </c>
      <c r="I61" s="16"/>
      <c r="J61" s="16"/>
      <c r="K61" s="16"/>
    </row>
    <row r="62" spans="1:11">
      <c r="A62" s="16" t="s">
        <v>137</v>
      </c>
      <c r="B62" s="16" t="s">
        <v>215</v>
      </c>
      <c r="C62" s="16" t="s">
        <v>216</v>
      </c>
      <c r="D62" s="16"/>
      <c r="E62" s="16"/>
      <c r="F62" s="16"/>
      <c r="G62" s="22">
        <v>2</v>
      </c>
      <c r="H62" s="22">
        <v>42</v>
      </c>
      <c r="I62" s="16"/>
      <c r="J62" s="16"/>
      <c r="K62" s="16"/>
    </row>
    <row r="63" spans="1:11">
      <c r="A63" s="16" t="s">
        <v>139</v>
      </c>
      <c r="B63" s="16" t="s">
        <v>215</v>
      </c>
      <c r="C63" s="16" t="s">
        <v>216</v>
      </c>
      <c r="D63" s="16"/>
      <c r="E63" s="16"/>
      <c r="F63" s="16"/>
      <c r="G63" s="22">
        <v>2</v>
      </c>
      <c r="H63" s="22">
        <v>42</v>
      </c>
      <c r="I63" s="16"/>
      <c r="J63" s="16"/>
      <c r="K63" s="16"/>
    </row>
    <row r="64" spans="1:11">
      <c r="A64" s="16" t="s">
        <v>140</v>
      </c>
      <c r="B64" s="16" t="s">
        <v>215</v>
      </c>
      <c r="C64" s="16" t="s">
        <v>216</v>
      </c>
      <c r="D64" s="18"/>
      <c r="E64" s="18"/>
      <c r="F64" s="18"/>
      <c r="G64" s="22">
        <v>2</v>
      </c>
      <c r="H64" s="22">
        <v>34</v>
      </c>
      <c r="I64" s="16"/>
      <c r="J64" s="16"/>
      <c r="K64" s="16"/>
    </row>
    <row r="65" spans="1:11">
      <c r="A65" s="16" t="s">
        <v>142</v>
      </c>
      <c r="B65" s="16" t="s">
        <v>215</v>
      </c>
      <c r="C65" s="16" t="s">
        <v>216</v>
      </c>
      <c r="D65" s="18"/>
      <c r="E65" s="18"/>
      <c r="F65" s="18"/>
      <c r="G65" s="22">
        <v>2</v>
      </c>
      <c r="H65" s="22">
        <v>33</v>
      </c>
      <c r="I65" s="16"/>
      <c r="J65" s="16"/>
      <c r="K65" s="16"/>
    </row>
    <row r="66" spans="1:11">
      <c r="A66" s="16" t="s">
        <v>143</v>
      </c>
      <c r="B66" s="16" t="s">
        <v>215</v>
      </c>
      <c r="C66" s="16" t="s">
        <v>216</v>
      </c>
      <c r="D66" s="18"/>
      <c r="E66" s="18"/>
      <c r="F66" s="18"/>
      <c r="G66" s="22">
        <v>2</v>
      </c>
      <c r="H66" s="22">
        <v>32</v>
      </c>
      <c r="I66" s="16"/>
      <c r="J66" s="16"/>
      <c r="K66" s="16"/>
    </row>
    <row r="67" spans="1:11">
      <c r="A67" s="16" t="s">
        <v>144</v>
      </c>
      <c r="B67" s="16" t="s">
        <v>215</v>
      </c>
      <c r="C67" s="16" t="s">
        <v>216</v>
      </c>
      <c r="D67" s="18"/>
      <c r="E67" s="18"/>
      <c r="F67" s="18"/>
      <c r="G67" s="22">
        <v>2</v>
      </c>
      <c r="H67" s="22">
        <v>32</v>
      </c>
      <c r="I67" s="16"/>
      <c r="J67" s="16"/>
      <c r="K67" s="16"/>
    </row>
    <row r="68" spans="1:11">
      <c r="A68" s="16" t="s">
        <v>145</v>
      </c>
      <c r="B68" s="16" t="s">
        <v>215</v>
      </c>
      <c r="C68" s="16" t="s">
        <v>216</v>
      </c>
      <c r="D68" s="18"/>
      <c r="E68" s="18"/>
      <c r="F68" s="18"/>
      <c r="G68" s="22">
        <v>2</v>
      </c>
      <c r="H68" s="22">
        <v>43</v>
      </c>
      <c r="I68" s="16"/>
      <c r="J68" s="16"/>
      <c r="K68" s="16"/>
    </row>
    <row r="69" spans="1:11">
      <c r="A69" s="16" t="s">
        <v>146</v>
      </c>
      <c r="B69" s="16" t="s">
        <v>215</v>
      </c>
      <c r="C69" s="16" t="s">
        <v>216</v>
      </c>
      <c r="D69" s="18"/>
      <c r="E69" s="18"/>
      <c r="F69" s="18"/>
      <c r="G69" s="22">
        <v>2</v>
      </c>
      <c r="H69" s="22">
        <v>34</v>
      </c>
      <c r="I69" s="16"/>
      <c r="J69" s="16"/>
      <c r="K69" s="16"/>
    </row>
    <row r="70" spans="1:11">
      <c r="A70" s="16" t="s">
        <v>147</v>
      </c>
      <c r="B70" s="16" t="s">
        <v>215</v>
      </c>
      <c r="C70" s="16" t="s">
        <v>216</v>
      </c>
      <c r="D70" s="16"/>
      <c r="E70" s="18"/>
      <c r="F70" s="18"/>
      <c r="G70" s="22">
        <v>2</v>
      </c>
      <c r="H70" s="22">
        <v>20</v>
      </c>
      <c r="I70" s="16"/>
      <c r="J70" s="16"/>
      <c r="K70" s="16"/>
    </row>
    <row r="71" spans="1:11">
      <c r="A71" s="16" t="s">
        <v>148</v>
      </c>
      <c r="B71" s="16" t="s">
        <v>215</v>
      </c>
      <c r="C71" s="16" t="s">
        <v>216</v>
      </c>
      <c r="D71" s="16"/>
      <c r="E71" s="18"/>
      <c r="F71" s="18"/>
      <c r="G71" s="22">
        <v>2</v>
      </c>
      <c r="H71" s="22">
        <v>19</v>
      </c>
      <c r="I71" s="16"/>
      <c r="J71" s="16"/>
      <c r="K71" s="16"/>
    </row>
    <row r="72" spans="1:11">
      <c r="A72" s="16" t="s">
        <v>149</v>
      </c>
      <c r="B72" s="16" t="s">
        <v>215</v>
      </c>
      <c r="C72" s="16" t="s">
        <v>216</v>
      </c>
      <c r="D72" s="16"/>
      <c r="E72" s="16"/>
      <c r="F72" s="16"/>
      <c r="G72" s="22">
        <v>2</v>
      </c>
      <c r="H72" s="22">
        <v>18</v>
      </c>
      <c r="I72" s="16"/>
      <c r="J72" s="16"/>
      <c r="K72" s="16"/>
    </row>
    <row r="73" spans="1:11">
      <c r="A73" s="16" t="s">
        <v>150</v>
      </c>
      <c r="B73" s="16" t="s">
        <v>215</v>
      </c>
      <c r="C73" s="16" t="s">
        <v>216</v>
      </c>
      <c r="D73" s="16"/>
      <c r="E73" s="16"/>
      <c r="F73" s="16"/>
      <c r="G73" s="22">
        <v>2</v>
      </c>
      <c r="H73" s="22">
        <v>17</v>
      </c>
      <c r="I73" s="16"/>
      <c r="J73" s="16"/>
      <c r="K73" s="16"/>
    </row>
    <row r="74" spans="1:11">
      <c r="A74" s="16" t="s">
        <v>151</v>
      </c>
      <c r="B74" s="16" t="s">
        <v>215</v>
      </c>
      <c r="C74" s="16" t="s">
        <v>216</v>
      </c>
      <c r="D74" s="16"/>
      <c r="E74" s="16"/>
      <c r="F74" s="16"/>
      <c r="G74" s="22">
        <v>2</v>
      </c>
      <c r="H74" s="22">
        <v>34</v>
      </c>
      <c r="I74" s="16"/>
      <c r="J74" s="16"/>
      <c r="K74" s="16"/>
    </row>
    <row r="75" spans="1:11">
      <c r="A75" s="16" t="s">
        <v>152</v>
      </c>
      <c r="B75" s="16" t="s">
        <v>215</v>
      </c>
      <c r="C75" s="16" t="s">
        <v>216</v>
      </c>
      <c r="D75" s="16"/>
      <c r="E75" s="16"/>
      <c r="F75" s="16"/>
      <c r="G75" s="22">
        <v>2</v>
      </c>
      <c r="H75" s="22">
        <v>36</v>
      </c>
      <c r="I75" s="16"/>
      <c r="J75" s="16"/>
      <c r="K75" s="16"/>
    </row>
    <row r="76" spans="1:11">
      <c r="A76" s="16" t="s">
        <v>153</v>
      </c>
      <c r="B76" s="16" t="s">
        <v>215</v>
      </c>
      <c r="C76" s="16" t="s">
        <v>216</v>
      </c>
      <c r="D76" s="16"/>
      <c r="E76" s="16"/>
      <c r="F76" s="16"/>
      <c r="G76" s="22">
        <v>2</v>
      </c>
      <c r="H76" s="22">
        <v>38</v>
      </c>
      <c r="I76" s="16"/>
      <c r="J76" s="16"/>
      <c r="K76" s="16"/>
    </row>
    <row r="77" spans="1:11">
      <c r="A77" s="16" t="s">
        <v>154</v>
      </c>
      <c r="B77" s="16" t="s">
        <v>215</v>
      </c>
      <c r="C77" s="16" t="s">
        <v>216</v>
      </c>
      <c r="D77" s="16"/>
      <c r="E77" s="16"/>
      <c r="F77" s="16"/>
      <c r="G77" s="22">
        <v>2</v>
      </c>
      <c r="H77" s="22">
        <v>34</v>
      </c>
      <c r="I77" s="16"/>
      <c r="J77" s="16"/>
      <c r="K77" s="16"/>
    </row>
    <row r="78" spans="1:11">
      <c r="A78" s="16" t="s">
        <v>155</v>
      </c>
      <c r="B78" s="16" t="s">
        <v>215</v>
      </c>
      <c r="C78" s="16" t="s">
        <v>216</v>
      </c>
      <c r="D78" s="16"/>
      <c r="E78" s="16"/>
      <c r="F78" s="16"/>
      <c r="G78" s="22">
        <v>2</v>
      </c>
      <c r="H78" s="22">
        <v>38</v>
      </c>
      <c r="I78" s="16"/>
      <c r="J78" s="16"/>
      <c r="K78" s="16"/>
    </row>
    <row r="79" spans="1:11">
      <c r="A79" s="16" t="s">
        <v>156</v>
      </c>
      <c r="B79" s="16" t="s">
        <v>215</v>
      </c>
      <c r="C79" s="16" t="s">
        <v>216</v>
      </c>
      <c r="D79" s="16"/>
      <c r="E79" s="16"/>
      <c r="F79" s="16"/>
      <c r="G79" s="22">
        <v>2</v>
      </c>
      <c r="H79" s="22">
        <v>32</v>
      </c>
      <c r="I79" s="16"/>
      <c r="J79" s="16"/>
      <c r="K79" s="16"/>
    </row>
    <row r="80" spans="1:11">
      <c r="A80" s="16" t="s">
        <v>157</v>
      </c>
      <c r="B80" s="16" t="s">
        <v>215</v>
      </c>
      <c r="C80" s="16" t="s">
        <v>216</v>
      </c>
      <c r="D80" s="16"/>
      <c r="E80" s="16"/>
      <c r="F80" s="16"/>
      <c r="G80" s="22">
        <v>2</v>
      </c>
      <c r="H80" s="22">
        <v>28</v>
      </c>
      <c r="I80" s="16"/>
      <c r="J80" s="16"/>
      <c r="K80" s="16"/>
    </row>
    <row r="81" spans="1:11">
      <c r="A81" s="16" t="s">
        <v>158</v>
      </c>
      <c r="B81" s="16" t="s">
        <v>215</v>
      </c>
      <c r="C81" s="16" t="s">
        <v>216</v>
      </c>
      <c r="D81" s="18"/>
      <c r="E81" s="16"/>
      <c r="F81" s="16"/>
      <c r="G81" s="22">
        <v>2</v>
      </c>
      <c r="H81" s="22">
        <v>34</v>
      </c>
      <c r="I81" s="16"/>
      <c r="J81" s="16"/>
      <c r="K81" s="16"/>
    </row>
    <row r="82" spans="1:11">
      <c r="A82" s="16" t="s">
        <v>160</v>
      </c>
      <c r="B82" s="16" t="s">
        <v>215</v>
      </c>
      <c r="C82" s="16" t="s">
        <v>216</v>
      </c>
      <c r="D82" s="18"/>
      <c r="E82" s="16"/>
      <c r="F82" s="16"/>
      <c r="G82" s="22">
        <v>2</v>
      </c>
      <c r="H82" s="22">
        <v>34</v>
      </c>
      <c r="I82" s="16"/>
      <c r="J82" s="16"/>
      <c r="K82" s="16"/>
    </row>
    <row r="83" spans="1:11">
      <c r="A83" s="16" t="s">
        <v>161</v>
      </c>
      <c r="B83" s="16" t="s">
        <v>215</v>
      </c>
      <c r="C83" s="16" t="s">
        <v>216</v>
      </c>
      <c r="D83" s="18"/>
      <c r="E83" s="16"/>
      <c r="F83" s="16"/>
      <c r="G83" s="22">
        <v>2</v>
      </c>
      <c r="H83" s="22">
        <v>34</v>
      </c>
      <c r="I83" s="16"/>
      <c r="J83" s="16"/>
      <c r="K83" s="16"/>
    </row>
    <row r="84" spans="1:11">
      <c r="A84" s="19" t="s">
        <v>162</v>
      </c>
      <c r="B84" s="20" t="s">
        <v>265</v>
      </c>
      <c r="C84" s="20" t="s">
        <v>163</v>
      </c>
      <c r="D84" s="16"/>
      <c r="E84" s="19"/>
      <c r="F84" s="19"/>
      <c r="G84" s="23">
        <v>4</v>
      </c>
      <c r="H84" s="23">
        <v>35</v>
      </c>
      <c r="I84" s="16"/>
      <c r="J84" s="16"/>
      <c r="K84" s="16"/>
    </row>
    <row r="85" spans="1:11">
      <c r="A85" s="19" t="s">
        <v>165</v>
      </c>
      <c r="B85" s="20" t="s">
        <v>265</v>
      </c>
      <c r="C85" s="20" t="s">
        <v>163</v>
      </c>
      <c r="D85" s="16"/>
      <c r="E85" s="19"/>
      <c r="F85" s="19"/>
      <c r="G85" s="23">
        <v>4</v>
      </c>
      <c r="H85" s="23">
        <v>34</v>
      </c>
      <c r="I85" s="16"/>
      <c r="J85" s="16"/>
      <c r="K85" s="16"/>
    </row>
    <row r="86" spans="1:11">
      <c r="A86" s="19" t="s">
        <v>166</v>
      </c>
      <c r="B86" s="20" t="s">
        <v>265</v>
      </c>
      <c r="C86" s="20" t="s">
        <v>163</v>
      </c>
      <c r="D86" s="16"/>
      <c r="E86" s="19"/>
      <c r="F86" s="19"/>
      <c r="G86" s="23">
        <v>4</v>
      </c>
      <c r="H86" s="23">
        <v>35</v>
      </c>
      <c r="I86" s="16"/>
      <c r="J86" s="16"/>
      <c r="K86" s="16"/>
    </row>
    <row r="87" spans="1:11">
      <c r="A87" s="19" t="s">
        <v>167</v>
      </c>
      <c r="B87" s="20" t="s">
        <v>265</v>
      </c>
      <c r="C87" s="20" t="s">
        <v>163</v>
      </c>
      <c r="D87" s="16"/>
      <c r="E87" s="19"/>
      <c r="F87" s="19"/>
      <c r="G87" s="23">
        <v>4</v>
      </c>
      <c r="H87" s="23">
        <v>45</v>
      </c>
      <c r="I87" s="16"/>
      <c r="J87" s="16"/>
      <c r="K87" s="16"/>
    </row>
    <row r="88" spans="1:11">
      <c r="A88" s="19" t="s">
        <v>168</v>
      </c>
      <c r="B88" s="20" t="s">
        <v>265</v>
      </c>
      <c r="C88" s="20" t="s">
        <v>163</v>
      </c>
      <c r="D88" s="16"/>
      <c r="E88" s="19"/>
      <c r="F88" s="19"/>
      <c r="G88" s="23">
        <v>4</v>
      </c>
      <c r="H88" s="23">
        <v>51</v>
      </c>
      <c r="I88" s="16"/>
      <c r="J88" s="16"/>
      <c r="K88" s="16"/>
    </row>
    <row r="89" spans="1:11">
      <c r="A89" s="19" t="s">
        <v>170</v>
      </c>
      <c r="B89" s="20" t="s">
        <v>265</v>
      </c>
      <c r="C89" s="20" t="s">
        <v>163</v>
      </c>
      <c r="D89" s="16"/>
      <c r="E89" s="19"/>
      <c r="F89" s="19"/>
      <c r="G89" s="23">
        <v>4</v>
      </c>
      <c r="H89" s="23">
        <v>33</v>
      </c>
      <c r="I89" s="16"/>
      <c r="J89" s="16"/>
      <c r="K89" s="16"/>
    </row>
    <row r="90" spans="1:11">
      <c r="A90" s="19" t="s">
        <v>171</v>
      </c>
      <c r="B90" s="20" t="s">
        <v>265</v>
      </c>
      <c r="C90" s="20" t="s">
        <v>163</v>
      </c>
      <c r="D90" s="16"/>
      <c r="E90" s="19"/>
      <c r="F90" s="19"/>
      <c r="G90" s="23">
        <v>4</v>
      </c>
      <c r="H90" s="23">
        <v>40</v>
      </c>
      <c r="I90" s="16"/>
      <c r="J90" s="16"/>
      <c r="K90" s="16"/>
    </row>
    <row r="91" spans="1:11">
      <c r="A91" s="19" t="s">
        <v>172</v>
      </c>
      <c r="B91" s="20" t="s">
        <v>265</v>
      </c>
      <c r="C91" s="20" t="s">
        <v>163</v>
      </c>
      <c r="D91" s="16"/>
      <c r="E91" s="19"/>
      <c r="F91" s="19"/>
      <c r="G91" s="23">
        <v>4</v>
      </c>
      <c r="H91" s="23">
        <v>28</v>
      </c>
      <c r="I91" s="16"/>
      <c r="J91" s="16"/>
      <c r="K91" s="16"/>
    </row>
    <row r="92" spans="1:11">
      <c r="A92" s="19" t="s">
        <v>174</v>
      </c>
      <c r="B92" s="20" t="s">
        <v>265</v>
      </c>
      <c r="C92" s="20" t="s">
        <v>163</v>
      </c>
      <c r="D92" s="16"/>
      <c r="E92" s="19"/>
      <c r="F92" s="19"/>
      <c r="G92" s="23">
        <v>4</v>
      </c>
      <c r="H92" s="23">
        <v>30</v>
      </c>
      <c r="I92" s="16"/>
      <c r="J92" s="16"/>
      <c r="K92" s="16"/>
    </row>
    <row r="93" spans="1:11">
      <c r="A93" s="19" t="s">
        <v>176</v>
      </c>
      <c r="B93" s="20" t="s">
        <v>265</v>
      </c>
      <c r="C93" s="20" t="s">
        <v>163</v>
      </c>
      <c r="D93" s="16"/>
      <c r="E93" s="19"/>
      <c r="F93" s="19"/>
      <c r="G93" s="23">
        <v>4</v>
      </c>
      <c r="H93" s="23">
        <v>33</v>
      </c>
      <c r="I93" s="16"/>
      <c r="J93" s="16"/>
      <c r="K93" s="16"/>
    </row>
    <row r="94" spans="1:11">
      <c r="A94" s="19" t="s">
        <v>177</v>
      </c>
      <c r="B94" s="20" t="s">
        <v>265</v>
      </c>
      <c r="C94" s="20" t="s">
        <v>163</v>
      </c>
      <c r="D94" s="16"/>
      <c r="E94" s="19"/>
      <c r="F94" s="19"/>
      <c r="G94" s="23">
        <v>4</v>
      </c>
      <c r="H94" s="23">
        <v>32</v>
      </c>
      <c r="I94" s="16"/>
      <c r="J94" s="16"/>
      <c r="K94" s="16"/>
    </row>
    <row r="95" spans="1:11">
      <c r="A95" s="19" t="s">
        <v>178</v>
      </c>
      <c r="B95" s="20" t="s">
        <v>265</v>
      </c>
      <c r="C95" s="20" t="s">
        <v>163</v>
      </c>
      <c r="D95" s="16"/>
      <c r="E95" s="19"/>
      <c r="F95" s="19"/>
      <c r="G95" s="23">
        <v>4</v>
      </c>
      <c r="H95" s="23">
        <v>23</v>
      </c>
      <c r="I95" s="16"/>
      <c r="J95" s="16"/>
      <c r="K95" s="16"/>
    </row>
    <row r="96" spans="1:11">
      <c r="A96" s="19" t="s">
        <v>180</v>
      </c>
      <c r="B96" s="20" t="s">
        <v>265</v>
      </c>
      <c r="C96" s="20" t="s">
        <v>163</v>
      </c>
      <c r="D96" s="18"/>
      <c r="E96" s="19"/>
      <c r="F96" s="19"/>
      <c r="G96" s="23">
        <v>4</v>
      </c>
      <c r="H96" s="23">
        <v>43</v>
      </c>
      <c r="I96" s="16"/>
      <c r="J96" s="16"/>
      <c r="K96" s="16"/>
    </row>
    <row r="97" spans="1:11">
      <c r="A97" s="19" t="s">
        <v>181</v>
      </c>
      <c r="B97" s="20" t="s">
        <v>265</v>
      </c>
      <c r="C97" s="20" t="s">
        <v>163</v>
      </c>
      <c r="D97" s="18"/>
      <c r="E97" s="19"/>
      <c r="F97" s="19"/>
      <c r="G97" s="23">
        <v>4</v>
      </c>
      <c r="H97" s="23">
        <v>22</v>
      </c>
      <c r="I97" s="16"/>
      <c r="J97" s="16"/>
      <c r="K97" s="16"/>
    </row>
    <row r="98" spans="1:11">
      <c r="A98" s="19" t="s">
        <v>183</v>
      </c>
      <c r="B98" s="20" t="s">
        <v>265</v>
      </c>
      <c r="C98" s="20" t="s">
        <v>163</v>
      </c>
      <c r="D98" s="18"/>
      <c r="E98" s="19"/>
      <c r="F98" s="19"/>
      <c r="G98" s="23">
        <v>4</v>
      </c>
      <c r="H98" s="23">
        <v>20</v>
      </c>
      <c r="I98" s="16"/>
      <c r="J98" s="16"/>
      <c r="K98" s="16"/>
    </row>
    <row r="99" spans="1:11">
      <c r="A99" s="19" t="s">
        <v>184</v>
      </c>
      <c r="B99" s="20" t="s">
        <v>265</v>
      </c>
      <c r="C99" s="20" t="s">
        <v>163</v>
      </c>
      <c r="D99" s="18"/>
      <c r="E99" s="19"/>
      <c r="F99" s="19"/>
      <c r="G99" s="23">
        <v>4</v>
      </c>
      <c r="H99" s="23">
        <v>19</v>
      </c>
      <c r="I99" s="16"/>
      <c r="J99" s="16"/>
      <c r="K99" s="16"/>
    </row>
    <row r="100" spans="1:11">
      <c r="A100" s="19" t="s">
        <v>185</v>
      </c>
      <c r="B100" s="20" t="s">
        <v>265</v>
      </c>
      <c r="C100" s="20" t="s">
        <v>163</v>
      </c>
      <c r="D100" s="16"/>
      <c r="E100" s="19"/>
      <c r="F100" s="19"/>
      <c r="G100" s="23">
        <v>4</v>
      </c>
      <c r="H100" s="23">
        <v>10</v>
      </c>
      <c r="I100" s="16"/>
      <c r="J100" s="16"/>
      <c r="K100" s="16"/>
    </row>
    <row r="101" spans="1:11">
      <c r="A101" s="19" t="s">
        <v>186</v>
      </c>
      <c r="B101" s="20" t="s">
        <v>265</v>
      </c>
      <c r="C101" s="20" t="s">
        <v>163</v>
      </c>
      <c r="D101" s="16"/>
      <c r="E101" s="19"/>
      <c r="F101" s="19"/>
      <c r="G101" s="23">
        <v>4</v>
      </c>
      <c r="H101" s="23">
        <v>10</v>
      </c>
      <c r="I101" s="16"/>
      <c r="J101" s="16"/>
      <c r="K101" s="16"/>
    </row>
    <row r="102" spans="1:11">
      <c r="A102" s="19" t="s">
        <v>187</v>
      </c>
      <c r="B102" s="20" t="s">
        <v>265</v>
      </c>
      <c r="C102" s="20" t="s">
        <v>163</v>
      </c>
      <c r="D102" s="16"/>
      <c r="E102" s="19"/>
      <c r="F102" s="19"/>
      <c r="G102" s="23">
        <v>4</v>
      </c>
      <c r="H102" s="23">
        <v>34</v>
      </c>
      <c r="I102" s="16"/>
      <c r="J102" s="16"/>
      <c r="K102" s="16"/>
    </row>
    <row r="103" spans="1:11">
      <c r="A103" s="19" t="s">
        <v>189</v>
      </c>
      <c r="B103" s="20" t="s">
        <v>265</v>
      </c>
      <c r="C103" s="20" t="s">
        <v>163</v>
      </c>
      <c r="D103" s="16"/>
      <c r="E103" s="19"/>
      <c r="F103" s="19"/>
      <c r="G103" s="23">
        <v>4</v>
      </c>
      <c r="H103" s="23">
        <v>36</v>
      </c>
      <c r="I103" s="16"/>
      <c r="J103" s="16"/>
      <c r="K103" s="16"/>
    </row>
    <row r="104" spans="1:11">
      <c r="A104" s="19" t="s">
        <v>190</v>
      </c>
      <c r="B104" s="20" t="s">
        <v>265</v>
      </c>
      <c r="C104" s="20" t="s">
        <v>163</v>
      </c>
      <c r="D104" s="16"/>
      <c r="E104" s="19"/>
      <c r="F104" s="19"/>
      <c r="G104" s="23">
        <v>4</v>
      </c>
      <c r="H104" s="23">
        <v>23</v>
      </c>
      <c r="I104" s="16"/>
      <c r="J104" s="16"/>
      <c r="K104" s="16"/>
    </row>
    <row r="105" spans="1:11">
      <c r="A105" s="19" t="s">
        <v>191</v>
      </c>
      <c r="B105" s="20" t="s">
        <v>265</v>
      </c>
      <c r="C105" s="20" t="s">
        <v>163</v>
      </c>
      <c r="D105" s="16"/>
      <c r="E105" s="19"/>
      <c r="F105" s="19"/>
      <c r="G105" s="23">
        <v>4</v>
      </c>
      <c r="H105" s="23">
        <v>27</v>
      </c>
      <c r="I105" s="16"/>
      <c r="J105" s="16"/>
      <c r="K105" s="16"/>
    </row>
    <row r="106" spans="1:11">
      <c r="A106" s="16" t="s">
        <v>193</v>
      </c>
      <c r="B106" s="16" t="s">
        <v>265</v>
      </c>
      <c r="C106" s="16" t="s">
        <v>163</v>
      </c>
      <c r="D106" s="16"/>
      <c r="E106" s="16"/>
      <c r="F106" s="16"/>
      <c r="G106" s="23">
        <v>4</v>
      </c>
      <c r="H106" s="22">
        <v>38</v>
      </c>
      <c r="I106" s="16"/>
      <c r="J106" s="16"/>
      <c r="K106" s="16"/>
    </row>
    <row r="107" spans="1:11">
      <c r="A107" s="16" t="s">
        <v>194</v>
      </c>
      <c r="B107" s="16" t="s">
        <v>265</v>
      </c>
      <c r="C107" s="16" t="s">
        <v>163</v>
      </c>
      <c r="D107" s="16"/>
      <c r="E107" s="16"/>
      <c r="F107" s="16"/>
      <c r="G107" s="23">
        <v>4</v>
      </c>
      <c r="H107" s="22">
        <v>32</v>
      </c>
      <c r="I107" s="16"/>
      <c r="J107" s="16"/>
      <c r="K107" s="16"/>
    </row>
    <row r="108" spans="1:11">
      <c r="A108" s="16" t="s">
        <v>195</v>
      </c>
      <c r="B108" s="16" t="s">
        <v>265</v>
      </c>
      <c r="C108" s="16" t="s">
        <v>163</v>
      </c>
      <c r="D108" s="16"/>
      <c r="E108" s="16"/>
      <c r="F108" s="16"/>
      <c r="G108" s="23">
        <v>4</v>
      </c>
      <c r="H108" s="22">
        <v>15</v>
      </c>
      <c r="I108" s="16"/>
      <c r="J108" s="16"/>
      <c r="K108" s="16"/>
    </row>
    <row r="109" spans="1:11">
      <c r="A109" s="16" t="s">
        <v>281</v>
      </c>
      <c r="B109" s="16" t="s">
        <v>265</v>
      </c>
      <c r="C109" s="16" t="s">
        <v>163</v>
      </c>
      <c r="D109" s="16"/>
      <c r="E109" s="16"/>
      <c r="F109" s="16"/>
      <c r="G109" s="23">
        <v>4</v>
      </c>
      <c r="H109" s="22">
        <v>18</v>
      </c>
      <c r="I109" s="16"/>
      <c r="J109" s="16"/>
      <c r="K109" s="16"/>
    </row>
    <row r="110" spans="1:11">
      <c r="A110" s="16" t="s">
        <v>197</v>
      </c>
      <c r="B110" s="16" t="s">
        <v>265</v>
      </c>
      <c r="C110" s="16" t="s">
        <v>163</v>
      </c>
      <c r="D110" s="16"/>
      <c r="E110" s="16"/>
      <c r="F110" s="16"/>
      <c r="G110" s="23">
        <v>4</v>
      </c>
      <c r="H110" s="22">
        <v>34</v>
      </c>
      <c r="I110" s="16"/>
      <c r="J110" s="16"/>
      <c r="K110" s="16"/>
    </row>
    <row r="111" spans="1:11">
      <c r="A111" s="16" t="s">
        <v>198</v>
      </c>
      <c r="B111" s="16" t="s">
        <v>265</v>
      </c>
      <c r="C111" s="16" t="s">
        <v>163</v>
      </c>
      <c r="D111" s="16"/>
      <c r="E111" s="16"/>
      <c r="F111" s="16"/>
      <c r="G111" s="23">
        <v>4</v>
      </c>
      <c r="H111" s="22">
        <v>31</v>
      </c>
      <c r="I111" s="16"/>
      <c r="J111" s="16"/>
      <c r="K111" s="16"/>
    </row>
    <row r="112" spans="1:11">
      <c r="A112" s="16" t="s">
        <v>272</v>
      </c>
      <c r="B112" s="16" t="s">
        <v>200</v>
      </c>
      <c r="C112" s="16" t="s">
        <v>201</v>
      </c>
      <c r="D112" s="16"/>
      <c r="E112" s="16"/>
      <c r="F112" s="16"/>
      <c r="G112" s="23">
        <v>4</v>
      </c>
      <c r="H112" s="22">
        <v>38</v>
      </c>
      <c r="I112" s="16"/>
      <c r="J112" s="16"/>
      <c r="K112" s="16"/>
    </row>
    <row r="113" spans="1:11">
      <c r="A113" s="16" t="s">
        <v>273</v>
      </c>
      <c r="B113" s="16" t="s">
        <v>200</v>
      </c>
      <c r="C113" s="16" t="s">
        <v>201</v>
      </c>
      <c r="D113" s="16"/>
      <c r="E113" s="16"/>
      <c r="F113" s="16"/>
      <c r="G113" s="23">
        <v>4</v>
      </c>
      <c r="H113" s="22">
        <v>32</v>
      </c>
      <c r="I113" s="16"/>
      <c r="J113" s="16"/>
      <c r="K113" s="16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BDA17-CDF6-443C-BE2B-3CCEE467DAB8}">
  <dimension ref="A1:L1048576"/>
  <sheetViews>
    <sheetView zoomScale="85" zoomScaleNormal="85" workbookViewId="0">
      <selection activeCell="G8" sqref="G8"/>
    </sheetView>
  </sheetViews>
  <sheetFormatPr defaultRowHeight="16.5"/>
  <cols>
    <col min="2" max="2" width="13.625" bestFit="1" customWidth="1"/>
    <col min="3" max="3" width="22.25" bestFit="1" customWidth="1"/>
    <col min="4" max="4" width="10.875" customWidth="1"/>
    <col min="5" max="5" width="16.625" bestFit="1" customWidth="1"/>
    <col min="6" max="6" width="17.5" bestFit="1" customWidth="1"/>
    <col min="7" max="7" width="16.625" bestFit="1" customWidth="1"/>
    <col min="8" max="8" width="16.75" bestFit="1" customWidth="1"/>
    <col min="9" max="9" width="16.75" style="24" customWidth="1"/>
    <col min="10" max="10" width="12.625" bestFit="1" customWidth="1"/>
    <col min="11" max="11" width="12.625" customWidth="1"/>
    <col min="12" max="12" width="10" bestFit="1" customWidth="1"/>
  </cols>
  <sheetData>
    <row r="1" spans="1:12">
      <c r="B1" s="16" t="s">
        <v>203</v>
      </c>
      <c r="C1" s="16" t="s">
        <v>204</v>
      </c>
      <c r="D1" s="16" t="s">
        <v>205</v>
      </c>
      <c r="E1" s="16" t="s">
        <v>206</v>
      </c>
      <c r="F1" s="16" t="s">
        <v>207</v>
      </c>
      <c r="G1" s="16" t="s">
        <v>208</v>
      </c>
      <c r="H1" s="16" t="s">
        <v>209</v>
      </c>
      <c r="I1" s="22" t="s">
        <v>210</v>
      </c>
      <c r="J1" s="16" t="s">
        <v>286</v>
      </c>
      <c r="K1" s="16" t="s">
        <v>287</v>
      </c>
      <c r="L1" s="16" t="s">
        <v>211</v>
      </c>
    </row>
    <row r="2" spans="1:12">
      <c r="A2">
        <v>1</v>
      </c>
      <c r="B2" s="17" t="s">
        <v>56</v>
      </c>
      <c r="C2" s="16" t="s">
        <v>224</v>
      </c>
      <c r="D2" s="16" t="s">
        <v>225</v>
      </c>
      <c r="E2" s="16" t="s">
        <v>59</v>
      </c>
      <c r="F2" s="16"/>
      <c r="G2" s="16"/>
      <c r="H2" s="16">
        <v>30</v>
      </c>
      <c r="I2" s="22" t="s">
        <v>226</v>
      </c>
      <c r="J2" s="16" t="s">
        <v>227</v>
      </c>
      <c r="K2" s="16" t="s">
        <v>288</v>
      </c>
      <c r="L2" s="16" t="s">
        <v>228</v>
      </c>
    </row>
    <row r="3" spans="1:12">
      <c r="A3">
        <v>2</v>
      </c>
      <c r="B3" s="17" t="s">
        <v>60</v>
      </c>
      <c r="C3" s="16" t="s">
        <v>224</v>
      </c>
      <c r="D3" s="16" t="s">
        <v>225</v>
      </c>
      <c r="E3" s="16" t="s">
        <v>59</v>
      </c>
      <c r="F3" s="16"/>
      <c r="G3" s="16"/>
      <c r="H3" s="16">
        <v>30</v>
      </c>
      <c r="I3" s="22" t="s">
        <v>229</v>
      </c>
      <c r="J3" s="16" t="s">
        <v>230</v>
      </c>
      <c r="K3" s="16" t="s">
        <v>291</v>
      </c>
      <c r="L3" s="16" t="s">
        <v>2</v>
      </c>
    </row>
    <row r="4" spans="1:12">
      <c r="A4">
        <v>3</v>
      </c>
      <c r="B4" s="17" t="s">
        <v>61</v>
      </c>
      <c r="C4" s="16" t="s">
        <v>224</v>
      </c>
      <c r="D4" s="16" t="s">
        <v>225</v>
      </c>
      <c r="E4" s="16" t="s">
        <v>62</v>
      </c>
      <c r="F4" s="16"/>
      <c r="G4" s="16"/>
      <c r="H4" s="16">
        <v>30</v>
      </c>
      <c r="I4" s="22" t="s">
        <v>231</v>
      </c>
      <c r="J4" s="16" t="s">
        <v>230</v>
      </c>
      <c r="K4" s="16" t="s">
        <v>291</v>
      </c>
      <c r="L4" s="16" t="s">
        <v>6</v>
      </c>
    </row>
    <row r="5" spans="1:12">
      <c r="A5">
        <v>4</v>
      </c>
      <c r="B5" s="17" t="s">
        <v>63</v>
      </c>
      <c r="C5" s="16" t="s">
        <v>224</v>
      </c>
      <c r="D5" s="16" t="s">
        <v>225</v>
      </c>
      <c r="E5" s="16" t="s">
        <v>64</v>
      </c>
      <c r="F5" s="16" t="s">
        <v>212</v>
      </c>
      <c r="G5" s="16"/>
      <c r="H5" s="16">
        <v>30</v>
      </c>
      <c r="I5" s="22" t="s">
        <v>232</v>
      </c>
      <c r="J5" s="16" t="s">
        <v>230</v>
      </c>
      <c r="K5" s="16" t="s">
        <v>291</v>
      </c>
      <c r="L5" s="16" t="s">
        <v>0</v>
      </c>
    </row>
    <row r="6" spans="1:12">
      <c r="A6">
        <v>5</v>
      </c>
      <c r="B6" s="17" t="s">
        <v>65</v>
      </c>
      <c r="C6" s="16" t="s">
        <v>224</v>
      </c>
      <c r="D6" s="16" t="s">
        <v>225</v>
      </c>
      <c r="E6" s="16" t="s">
        <v>64</v>
      </c>
      <c r="F6" s="16" t="s">
        <v>212</v>
      </c>
      <c r="G6" s="16"/>
      <c r="H6" s="16">
        <v>30</v>
      </c>
      <c r="I6" s="22" t="s">
        <v>232</v>
      </c>
      <c r="J6" s="16" t="s">
        <v>227</v>
      </c>
      <c r="K6" s="16" t="s">
        <v>288</v>
      </c>
      <c r="L6" s="16" t="s">
        <v>4</v>
      </c>
    </row>
    <row r="7" spans="1:12">
      <c r="A7">
        <v>6</v>
      </c>
      <c r="B7" s="17" t="s">
        <v>66</v>
      </c>
      <c r="C7" s="16" t="s">
        <v>224</v>
      </c>
      <c r="D7" s="16" t="s">
        <v>225</v>
      </c>
      <c r="E7" s="16" t="s">
        <v>59</v>
      </c>
      <c r="F7" s="16"/>
      <c r="G7" s="16"/>
      <c r="H7" s="16">
        <v>30</v>
      </c>
      <c r="I7" s="22" t="s">
        <v>232</v>
      </c>
      <c r="J7" s="16" t="s">
        <v>227</v>
      </c>
      <c r="K7" s="16" t="s">
        <v>288</v>
      </c>
      <c r="L7" s="16" t="s">
        <v>6</v>
      </c>
    </row>
    <row r="8" spans="1:12">
      <c r="A8">
        <v>7</v>
      </c>
      <c r="B8" s="17" t="s">
        <v>67</v>
      </c>
      <c r="C8" s="16" t="s">
        <v>224</v>
      </c>
      <c r="D8" s="16" t="s">
        <v>225</v>
      </c>
      <c r="E8" s="16" t="s">
        <v>68</v>
      </c>
      <c r="F8" s="16" t="s">
        <v>64</v>
      </c>
      <c r="G8" s="16"/>
      <c r="H8" s="16">
        <v>30</v>
      </c>
      <c r="I8" s="22" t="s">
        <v>229</v>
      </c>
      <c r="J8" s="16" t="s">
        <v>230</v>
      </c>
      <c r="K8" s="16" t="s">
        <v>291</v>
      </c>
      <c r="L8" s="16" t="s">
        <v>228</v>
      </c>
    </row>
    <row r="9" spans="1:12">
      <c r="A9">
        <v>8</v>
      </c>
      <c r="B9" s="17" t="s">
        <v>69</v>
      </c>
      <c r="C9" s="16" t="s">
        <v>224</v>
      </c>
      <c r="D9" s="16" t="s">
        <v>225</v>
      </c>
      <c r="E9" s="16" t="s">
        <v>68</v>
      </c>
      <c r="F9" s="16" t="s">
        <v>64</v>
      </c>
      <c r="G9" s="16"/>
      <c r="H9" s="16">
        <v>30</v>
      </c>
      <c r="I9" s="22" t="s">
        <v>229</v>
      </c>
      <c r="J9" s="16" t="s">
        <v>227</v>
      </c>
      <c r="K9" s="16" t="s">
        <v>288</v>
      </c>
      <c r="L9" s="16" t="s">
        <v>228</v>
      </c>
    </row>
    <row r="10" spans="1:12">
      <c r="A10">
        <v>9</v>
      </c>
      <c r="B10" s="17" t="s">
        <v>70</v>
      </c>
      <c r="C10" s="16" t="s">
        <v>224</v>
      </c>
      <c r="D10" s="16" t="s">
        <v>225</v>
      </c>
      <c r="E10" s="16" t="s">
        <v>62</v>
      </c>
      <c r="F10" s="16"/>
      <c r="G10" s="16"/>
      <c r="H10" s="16">
        <v>30</v>
      </c>
      <c r="I10" s="22" t="s">
        <v>229</v>
      </c>
      <c r="J10" s="16" t="s">
        <v>230</v>
      </c>
      <c r="K10" s="16" t="s">
        <v>291</v>
      </c>
      <c r="L10" s="16" t="s">
        <v>37</v>
      </c>
    </row>
    <row r="11" spans="1:12">
      <c r="A11">
        <v>10</v>
      </c>
      <c r="B11" s="17" t="s">
        <v>71</v>
      </c>
      <c r="C11" s="16" t="s">
        <v>224</v>
      </c>
      <c r="D11" s="16" t="s">
        <v>225</v>
      </c>
      <c r="E11" s="16" t="s">
        <v>64</v>
      </c>
      <c r="F11" s="16" t="s">
        <v>68</v>
      </c>
      <c r="G11" s="16"/>
      <c r="H11" s="16">
        <v>30</v>
      </c>
      <c r="I11" s="22" t="s">
        <v>229</v>
      </c>
      <c r="J11" s="16" t="s">
        <v>227</v>
      </c>
      <c r="K11" s="16" t="s">
        <v>288</v>
      </c>
      <c r="L11" s="16" t="s">
        <v>233</v>
      </c>
    </row>
    <row r="12" spans="1:12">
      <c r="A12">
        <v>11</v>
      </c>
      <c r="B12" s="17" t="s">
        <v>73</v>
      </c>
      <c r="C12" s="16" t="s">
        <v>224</v>
      </c>
      <c r="D12" s="16" t="s">
        <v>225</v>
      </c>
      <c r="E12" s="16" t="s">
        <v>64</v>
      </c>
      <c r="F12" s="16" t="s">
        <v>68</v>
      </c>
      <c r="G12" s="16"/>
      <c r="H12" s="16">
        <v>30</v>
      </c>
      <c r="I12" s="22" t="s">
        <v>229</v>
      </c>
      <c r="J12" s="16" t="s">
        <v>230</v>
      </c>
      <c r="K12" s="16" t="s">
        <v>291</v>
      </c>
      <c r="L12" s="16" t="s">
        <v>234</v>
      </c>
    </row>
    <row r="13" spans="1:12">
      <c r="A13">
        <v>12</v>
      </c>
      <c r="B13" s="17" t="s">
        <v>74</v>
      </c>
      <c r="C13" s="16" t="s">
        <v>224</v>
      </c>
      <c r="D13" s="16" t="s">
        <v>225</v>
      </c>
      <c r="E13" s="16" t="s">
        <v>75</v>
      </c>
      <c r="F13" s="16"/>
      <c r="G13" s="16"/>
      <c r="H13" s="16">
        <v>30</v>
      </c>
      <c r="I13" s="22" t="s">
        <v>235</v>
      </c>
      <c r="J13" s="16" t="s">
        <v>230</v>
      </c>
      <c r="K13" s="16" t="s">
        <v>291</v>
      </c>
      <c r="L13" s="16" t="s">
        <v>236</v>
      </c>
    </row>
    <row r="14" spans="1:12">
      <c r="A14">
        <v>13</v>
      </c>
      <c r="B14" s="17" t="s">
        <v>76</v>
      </c>
      <c r="C14" s="16" t="s">
        <v>224</v>
      </c>
      <c r="D14" s="16" t="s">
        <v>225</v>
      </c>
      <c r="E14" s="16" t="s">
        <v>212</v>
      </c>
      <c r="F14" s="16"/>
      <c r="G14" s="16"/>
      <c r="H14" s="16">
        <v>30</v>
      </c>
      <c r="I14" s="22" t="s">
        <v>235</v>
      </c>
      <c r="J14" s="16" t="s">
        <v>230</v>
      </c>
      <c r="K14" s="16" t="s">
        <v>291</v>
      </c>
      <c r="L14" s="16" t="s">
        <v>237</v>
      </c>
    </row>
    <row r="15" spans="1:12">
      <c r="A15">
        <v>14</v>
      </c>
      <c r="B15" s="17" t="s">
        <v>78</v>
      </c>
      <c r="C15" s="16" t="s">
        <v>224</v>
      </c>
      <c r="D15" s="16" t="s">
        <v>225</v>
      </c>
      <c r="E15" s="16" t="s">
        <v>212</v>
      </c>
      <c r="F15" s="16"/>
      <c r="G15" s="16"/>
      <c r="H15" s="16">
        <v>30</v>
      </c>
      <c r="I15" s="22" t="s">
        <v>235</v>
      </c>
      <c r="J15" s="16" t="s">
        <v>227</v>
      </c>
      <c r="K15" s="16" t="s">
        <v>288</v>
      </c>
      <c r="L15" s="16" t="s">
        <v>237</v>
      </c>
    </row>
    <row r="16" spans="1:12">
      <c r="A16">
        <v>15</v>
      </c>
      <c r="B16" s="17" t="s">
        <v>79</v>
      </c>
      <c r="C16" s="16" t="s">
        <v>224</v>
      </c>
      <c r="D16" s="16" t="s">
        <v>225</v>
      </c>
      <c r="E16" s="16" t="s">
        <v>213</v>
      </c>
      <c r="F16" s="16" t="s">
        <v>212</v>
      </c>
      <c r="G16" s="16"/>
      <c r="H16" s="16">
        <v>30</v>
      </c>
      <c r="I16" s="22" t="s">
        <v>229</v>
      </c>
      <c r="J16" s="16" t="s">
        <v>230</v>
      </c>
      <c r="K16" s="16" t="s">
        <v>291</v>
      </c>
      <c r="L16" s="16" t="s">
        <v>23</v>
      </c>
    </row>
    <row r="17" spans="1:12">
      <c r="A17">
        <v>16</v>
      </c>
      <c r="B17" s="16" t="s">
        <v>81</v>
      </c>
      <c r="C17" s="16" t="s">
        <v>224</v>
      </c>
      <c r="D17" s="16" t="s">
        <v>225</v>
      </c>
      <c r="E17" s="16" t="s">
        <v>213</v>
      </c>
      <c r="F17" s="16" t="s">
        <v>212</v>
      </c>
      <c r="G17" s="16"/>
      <c r="H17" s="16">
        <v>30</v>
      </c>
      <c r="I17" s="22" t="s">
        <v>229</v>
      </c>
      <c r="J17" s="16" t="s">
        <v>227</v>
      </c>
      <c r="K17" s="16" t="s">
        <v>288</v>
      </c>
      <c r="L17" s="16" t="s">
        <v>23</v>
      </c>
    </row>
    <row r="18" spans="1:12">
      <c r="A18">
        <v>17</v>
      </c>
      <c r="B18" s="16" t="s">
        <v>82</v>
      </c>
      <c r="C18" s="16" t="s">
        <v>224</v>
      </c>
      <c r="D18" s="16" t="s">
        <v>225</v>
      </c>
      <c r="E18" s="16" t="s">
        <v>212</v>
      </c>
      <c r="F18" s="16" t="s">
        <v>213</v>
      </c>
      <c r="G18" s="16"/>
      <c r="H18" s="16">
        <v>30</v>
      </c>
      <c r="I18" s="22" t="s">
        <v>232</v>
      </c>
      <c r="J18" s="16" t="s">
        <v>230</v>
      </c>
      <c r="K18" s="16" t="s">
        <v>291</v>
      </c>
      <c r="L18" s="16" t="s">
        <v>23</v>
      </c>
    </row>
    <row r="19" spans="1:12">
      <c r="A19">
        <v>18</v>
      </c>
      <c r="B19" s="16" t="s">
        <v>83</v>
      </c>
      <c r="C19" s="16" t="s">
        <v>224</v>
      </c>
      <c r="D19" s="16" t="s">
        <v>225</v>
      </c>
      <c r="E19" s="16" t="s">
        <v>212</v>
      </c>
      <c r="F19" s="16" t="s">
        <v>213</v>
      </c>
      <c r="G19" s="16"/>
      <c r="H19" s="16">
        <v>30</v>
      </c>
      <c r="I19" s="22" t="s">
        <v>232</v>
      </c>
      <c r="J19" s="16" t="s">
        <v>227</v>
      </c>
      <c r="K19" s="16" t="s">
        <v>288</v>
      </c>
      <c r="L19" s="16" t="s">
        <v>23</v>
      </c>
    </row>
    <row r="20" spans="1:12">
      <c r="A20">
        <v>19</v>
      </c>
      <c r="B20" s="16" t="s">
        <v>84</v>
      </c>
      <c r="C20" s="16" t="s">
        <v>224</v>
      </c>
      <c r="D20" s="16" t="s">
        <v>225</v>
      </c>
      <c r="E20" s="16" t="s">
        <v>62</v>
      </c>
      <c r="F20" s="16"/>
      <c r="G20" s="16"/>
      <c r="H20" s="16">
        <v>30</v>
      </c>
      <c r="I20" s="22" t="s">
        <v>235</v>
      </c>
      <c r="J20" s="16" t="s">
        <v>230</v>
      </c>
      <c r="K20" s="16" t="s">
        <v>291</v>
      </c>
      <c r="L20" s="16" t="s">
        <v>238</v>
      </c>
    </row>
    <row r="21" spans="1:12">
      <c r="A21">
        <v>20</v>
      </c>
      <c r="B21" s="16" t="s">
        <v>85</v>
      </c>
      <c r="C21" s="16" t="s">
        <v>224</v>
      </c>
      <c r="D21" s="16" t="s">
        <v>225</v>
      </c>
      <c r="E21" s="16" t="s">
        <v>62</v>
      </c>
      <c r="F21" s="16"/>
      <c r="G21" s="16"/>
      <c r="H21" s="16">
        <v>30</v>
      </c>
      <c r="I21" s="22" t="s">
        <v>235</v>
      </c>
      <c r="J21" s="16" t="s">
        <v>227</v>
      </c>
      <c r="K21" s="16" t="s">
        <v>288</v>
      </c>
      <c r="L21" s="16" t="s">
        <v>239</v>
      </c>
    </row>
    <row r="22" spans="1:12">
      <c r="A22">
        <v>21</v>
      </c>
      <c r="B22" s="16" t="s">
        <v>86</v>
      </c>
      <c r="C22" s="16" t="s">
        <v>224</v>
      </c>
      <c r="D22" s="16" t="s">
        <v>225</v>
      </c>
      <c r="E22" s="16" t="s">
        <v>213</v>
      </c>
      <c r="F22" s="16" t="s">
        <v>212</v>
      </c>
      <c r="G22" s="16"/>
      <c r="H22" s="16">
        <v>30</v>
      </c>
      <c r="I22" s="22" t="s">
        <v>232</v>
      </c>
      <c r="J22" s="16" t="s">
        <v>240</v>
      </c>
      <c r="K22" s="16" t="s">
        <v>289</v>
      </c>
      <c r="L22" s="16" t="s">
        <v>241</v>
      </c>
    </row>
    <row r="23" spans="1:12">
      <c r="A23">
        <v>22</v>
      </c>
      <c r="B23" s="16" t="s">
        <v>87</v>
      </c>
      <c r="C23" s="16" t="s">
        <v>224</v>
      </c>
      <c r="D23" s="16" t="s">
        <v>225</v>
      </c>
      <c r="E23" s="16" t="s">
        <v>213</v>
      </c>
      <c r="F23" s="16" t="s">
        <v>212</v>
      </c>
      <c r="G23" s="16"/>
      <c r="H23" s="16">
        <v>30</v>
      </c>
      <c r="I23" s="22" t="s">
        <v>232</v>
      </c>
      <c r="J23" s="16" t="s">
        <v>242</v>
      </c>
      <c r="K23" s="16" t="s">
        <v>290</v>
      </c>
      <c r="L23" s="16" t="s">
        <v>243</v>
      </c>
    </row>
    <row r="24" spans="1:12">
      <c r="A24">
        <v>23</v>
      </c>
      <c r="B24" s="16" t="s">
        <v>88</v>
      </c>
      <c r="C24" s="16" t="s">
        <v>224</v>
      </c>
      <c r="D24" s="16" t="s">
        <v>225</v>
      </c>
      <c r="E24" s="16" t="s">
        <v>212</v>
      </c>
      <c r="F24" s="16" t="s">
        <v>213</v>
      </c>
      <c r="G24" s="16"/>
      <c r="H24" s="16">
        <v>30</v>
      </c>
      <c r="I24" s="22" t="s">
        <v>229</v>
      </c>
      <c r="J24" s="16" t="s">
        <v>230</v>
      </c>
      <c r="K24" s="16" t="s">
        <v>291</v>
      </c>
      <c r="L24" s="16" t="s">
        <v>244</v>
      </c>
    </row>
    <row r="25" spans="1:12">
      <c r="A25">
        <v>24</v>
      </c>
      <c r="B25" s="16" t="s">
        <v>89</v>
      </c>
      <c r="C25" s="16" t="s">
        <v>224</v>
      </c>
      <c r="D25" s="16" t="s">
        <v>225</v>
      </c>
      <c r="E25" s="16" t="s">
        <v>59</v>
      </c>
      <c r="F25" s="16"/>
      <c r="G25" s="16"/>
      <c r="H25" s="16">
        <v>30</v>
      </c>
      <c r="I25" s="22" t="s">
        <v>235</v>
      </c>
      <c r="J25" s="16" t="s">
        <v>230</v>
      </c>
      <c r="K25" s="16" t="s">
        <v>291</v>
      </c>
      <c r="L25" s="16" t="s">
        <v>245</v>
      </c>
    </row>
    <row r="26" spans="1:12">
      <c r="A26">
        <v>25</v>
      </c>
      <c r="B26" s="16" t="s">
        <v>90</v>
      </c>
      <c r="C26" s="16" t="s">
        <v>224</v>
      </c>
      <c r="D26" s="16" t="s">
        <v>225</v>
      </c>
      <c r="E26" s="16" t="s">
        <v>212</v>
      </c>
      <c r="F26" s="16" t="s">
        <v>213</v>
      </c>
      <c r="G26" s="16"/>
      <c r="H26" s="16">
        <v>30</v>
      </c>
      <c r="I26" s="22" t="s">
        <v>229</v>
      </c>
      <c r="J26" s="16" t="s">
        <v>227</v>
      </c>
      <c r="K26" s="16"/>
      <c r="L26" s="16" t="s">
        <v>245</v>
      </c>
    </row>
    <row r="27" spans="1:12">
      <c r="A27">
        <v>26</v>
      </c>
      <c r="B27" s="16" t="s">
        <v>91</v>
      </c>
      <c r="C27" s="16" t="s">
        <v>224</v>
      </c>
      <c r="D27" s="16" t="s">
        <v>225</v>
      </c>
      <c r="E27" s="16" t="s">
        <v>75</v>
      </c>
      <c r="F27" s="16"/>
      <c r="G27" s="16"/>
      <c r="H27" s="16">
        <v>30</v>
      </c>
      <c r="I27" s="22" t="s">
        <v>229</v>
      </c>
      <c r="J27" s="16" t="s">
        <v>230</v>
      </c>
      <c r="K27" s="16" t="s">
        <v>291</v>
      </c>
      <c r="L27" s="16" t="s">
        <v>45</v>
      </c>
    </row>
    <row r="28" spans="1:12">
      <c r="A28">
        <v>27</v>
      </c>
      <c r="B28" s="16" t="s">
        <v>92</v>
      </c>
      <c r="C28" s="16" t="s">
        <v>224</v>
      </c>
      <c r="D28" s="16" t="s">
        <v>225</v>
      </c>
      <c r="E28" s="16" t="s">
        <v>68</v>
      </c>
      <c r="F28" s="16"/>
      <c r="G28" s="16"/>
      <c r="H28" s="16">
        <v>30</v>
      </c>
      <c r="I28" s="22" t="s">
        <v>235</v>
      </c>
      <c r="J28" s="16" t="s">
        <v>227</v>
      </c>
      <c r="K28" s="16"/>
      <c r="L28" s="16" t="s">
        <v>45</v>
      </c>
    </row>
    <row r="29" spans="1:12">
      <c r="A29">
        <v>28</v>
      </c>
      <c r="B29" s="16" t="s">
        <v>93</v>
      </c>
      <c r="C29" s="16" t="s">
        <v>224</v>
      </c>
      <c r="D29" s="16" t="s">
        <v>225</v>
      </c>
      <c r="E29" s="16" t="s">
        <v>68</v>
      </c>
      <c r="F29" s="16"/>
      <c r="G29" s="16"/>
      <c r="H29" s="16">
        <v>30</v>
      </c>
      <c r="I29" s="22" t="s">
        <v>235</v>
      </c>
      <c r="J29" s="16" t="s">
        <v>230</v>
      </c>
      <c r="K29" s="16" t="s">
        <v>291</v>
      </c>
      <c r="L29" s="16" t="s">
        <v>45</v>
      </c>
    </row>
    <row r="30" spans="1:12">
      <c r="A30">
        <v>29</v>
      </c>
      <c r="B30" s="16" t="s">
        <v>94</v>
      </c>
      <c r="C30" s="16" t="s">
        <v>246</v>
      </c>
      <c r="D30" s="16" t="s">
        <v>247</v>
      </c>
      <c r="E30" s="22" t="s">
        <v>248</v>
      </c>
      <c r="F30" s="22" t="s">
        <v>248</v>
      </c>
      <c r="G30" s="22" t="s">
        <v>248</v>
      </c>
      <c r="H30" s="16">
        <v>30</v>
      </c>
      <c r="I30" s="22" t="s">
        <v>229</v>
      </c>
      <c r="J30" s="16" t="s">
        <v>230</v>
      </c>
      <c r="K30" s="16" t="s">
        <v>291</v>
      </c>
      <c r="L30" s="16" t="s">
        <v>0</v>
      </c>
    </row>
    <row r="31" spans="1:12">
      <c r="A31">
        <v>30</v>
      </c>
      <c r="B31" s="16" t="s">
        <v>97</v>
      </c>
      <c r="C31" s="16" t="s">
        <v>246</v>
      </c>
      <c r="D31" s="16" t="s">
        <v>247</v>
      </c>
      <c r="E31" s="22" t="s">
        <v>248</v>
      </c>
      <c r="F31" s="22" t="s">
        <v>248</v>
      </c>
      <c r="G31" s="22" t="s">
        <v>248</v>
      </c>
      <c r="H31" s="16">
        <v>30</v>
      </c>
      <c r="I31" s="22" t="s">
        <v>235</v>
      </c>
      <c r="J31" s="16" t="s">
        <v>249</v>
      </c>
      <c r="K31" s="16" t="s">
        <v>292</v>
      </c>
      <c r="L31" s="16" t="s">
        <v>2</v>
      </c>
    </row>
    <row r="32" spans="1:12">
      <c r="A32">
        <v>31</v>
      </c>
      <c r="B32" s="16" t="s">
        <v>98</v>
      </c>
      <c r="C32" s="16" t="s">
        <v>246</v>
      </c>
      <c r="D32" s="16" t="s">
        <v>247</v>
      </c>
      <c r="E32" s="22" t="s">
        <v>248</v>
      </c>
      <c r="F32" s="22" t="s">
        <v>248</v>
      </c>
      <c r="G32" s="22" t="s">
        <v>248</v>
      </c>
      <c r="H32" s="16">
        <v>30</v>
      </c>
      <c r="I32" s="22" t="s">
        <v>229</v>
      </c>
      <c r="J32" s="16" t="s">
        <v>227</v>
      </c>
      <c r="K32" s="16"/>
      <c r="L32" s="16" t="s">
        <v>0</v>
      </c>
    </row>
    <row r="33" spans="1:12">
      <c r="A33">
        <v>32</v>
      </c>
      <c r="B33" s="16" t="s">
        <v>99</v>
      </c>
      <c r="C33" s="16" t="s">
        <v>246</v>
      </c>
      <c r="D33" s="16" t="s">
        <v>247</v>
      </c>
      <c r="E33" s="22" t="s">
        <v>250</v>
      </c>
      <c r="F33" s="22" t="s">
        <v>251</v>
      </c>
      <c r="G33" s="22" t="s">
        <v>252</v>
      </c>
      <c r="H33" s="16">
        <v>30</v>
      </c>
      <c r="I33" s="22" t="s">
        <v>229</v>
      </c>
      <c r="J33" s="16" t="s">
        <v>249</v>
      </c>
      <c r="K33" s="16" t="s">
        <v>292</v>
      </c>
      <c r="L33" s="16" t="s">
        <v>4</v>
      </c>
    </row>
    <row r="34" spans="1:12">
      <c r="A34">
        <v>33</v>
      </c>
      <c r="B34" s="16" t="s">
        <v>103</v>
      </c>
      <c r="C34" s="16" t="s">
        <v>246</v>
      </c>
      <c r="D34" s="16" t="s">
        <v>247</v>
      </c>
      <c r="E34" s="22" t="s">
        <v>250</v>
      </c>
      <c r="F34" s="22" t="s">
        <v>251</v>
      </c>
      <c r="G34" s="22" t="s">
        <v>252</v>
      </c>
      <c r="H34" s="16">
        <v>30</v>
      </c>
      <c r="I34" s="22" t="s">
        <v>229</v>
      </c>
      <c r="J34" s="16" t="s">
        <v>227</v>
      </c>
      <c r="K34" s="16"/>
      <c r="L34" s="16" t="s">
        <v>6</v>
      </c>
    </row>
    <row r="35" spans="1:12">
      <c r="A35">
        <v>34</v>
      </c>
      <c r="B35" s="16" t="s">
        <v>104</v>
      </c>
      <c r="C35" s="16" t="s">
        <v>246</v>
      </c>
      <c r="D35" s="16" t="s">
        <v>247</v>
      </c>
      <c r="E35" s="22" t="s">
        <v>251</v>
      </c>
      <c r="F35" s="22" t="s">
        <v>252</v>
      </c>
      <c r="G35" s="22" t="s">
        <v>253</v>
      </c>
      <c r="H35" s="16">
        <v>30</v>
      </c>
      <c r="I35" s="22" t="s">
        <v>232</v>
      </c>
      <c r="J35" s="16" t="s">
        <v>230</v>
      </c>
      <c r="K35" s="16" t="s">
        <v>291</v>
      </c>
      <c r="L35" s="16" t="s">
        <v>6</v>
      </c>
    </row>
    <row r="36" spans="1:12">
      <c r="A36">
        <v>35</v>
      </c>
      <c r="B36" s="16" t="s">
        <v>106</v>
      </c>
      <c r="C36" s="16" t="s">
        <v>246</v>
      </c>
      <c r="D36" s="16" t="s">
        <v>247</v>
      </c>
      <c r="E36" s="22" t="s">
        <v>252</v>
      </c>
      <c r="F36" s="22" t="s">
        <v>252</v>
      </c>
      <c r="G36" s="22" t="s">
        <v>251</v>
      </c>
      <c r="H36" s="16">
        <v>30</v>
      </c>
      <c r="I36" s="22" t="s">
        <v>235</v>
      </c>
      <c r="J36" s="16" t="s">
        <v>230</v>
      </c>
      <c r="K36" s="16" t="s">
        <v>291</v>
      </c>
      <c r="L36" s="16" t="s">
        <v>228</v>
      </c>
    </row>
    <row r="37" spans="1:12">
      <c r="A37">
        <v>36</v>
      </c>
      <c r="B37" s="16" t="s">
        <v>107</v>
      </c>
      <c r="C37" s="16" t="s">
        <v>246</v>
      </c>
      <c r="D37" s="16" t="s">
        <v>247</v>
      </c>
      <c r="E37" s="22" t="s">
        <v>252</v>
      </c>
      <c r="F37" s="22" t="s">
        <v>252</v>
      </c>
      <c r="G37" s="22" t="s">
        <v>251</v>
      </c>
      <c r="H37" s="16">
        <v>30</v>
      </c>
      <c r="I37" s="22" t="s">
        <v>235</v>
      </c>
      <c r="J37" s="16" t="s">
        <v>227</v>
      </c>
      <c r="K37" s="16"/>
      <c r="L37" s="16" t="s">
        <v>228</v>
      </c>
    </row>
    <row r="38" spans="1:12">
      <c r="A38">
        <v>37</v>
      </c>
      <c r="B38" s="16" t="s">
        <v>108</v>
      </c>
      <c r="C38" s="16" t="s">
        <v>246</v>
      </c>
      <c r="D38" s="16" t="s">
        <v>247</v>
      </c>
      <c r="E38" s="22" t="s">
        <v>251</v>
      </c>
      <c r="F38" s="22" t="s">
        <v>251</v>
      </c>
      <c r="G38" s="22" t="s">
        <v>252</v>
      </c>
      <c r="H38" s="16">
        <v>30</v>
      </c>
      <c r="I38" s="22" t="s">
        <v>235</v>
      </c>
      <c r="J38" s="16" t="s">
        <v>227</v>
      </c>
      <c r="K38" s="16"/>
      <c r="L38" s="16" t="s">
        <v>37</v>
      </c>
    </row>
    <row r="39" spans="1:12">
      <c r="A39">
        <v>38</v>
      </c>
      <c r="B39" s="16" t="s">
        <v>109</v>
      </c>
      <c r="C39" s="16" t="s">
        <v>246</v>
      </c>
      <c r="D39" s="16" t="s">
        <v>247</v>
      </c>
      <c r="E39" s="22" t="s">
        <v>251</v>
      </c>
      <c r="F39" s="22" t="s">
        <v>250</v>
      </c>
      <c r="G39" s="22" t="s">
        <v>254</v>
      </c>
      <c r="H39" s="16">
        <v>30</v>
      </c>
      <c r="I39" s="22" t="s">
        <v>229</v>
      </c>
      <c r="J39" s="16" t="s">
        <v>230</v>
      </c>
      <c r="K39" s="16" t="s">
        <v>291</v>
      </c>
      <c r="L39" s="16" t="s">
        <v>233</v>
      </c>
    </row>
    <row r="40" spans="1:12">
      <c r="A40">
        <v>39</v>
      </c>
      <c r="B40" s="16" t="s">
        <v>111</v>
      </c>
      <c r="C40" s="16" t="s">
        <v>246</v>
      </c>
      <c r="D40" s="16" t="s">
        <v>247</v>
      </c>
      <c r="E40" s="22" t="s">
        <v>251</v>
      </c>
      <c r="F40" s="22" t="s">
        <v>250</v>
      </c>
      <c r="G40" s="22" t="s">
        <v>254</v>
      </c>
      <c r="H40" s="16">
        <v>30</v>
      </c>
      <c r="I40" s="22" t="s">
        <v>229</v>
      </c>
      <c r="J40" s="16" t="s">
        <v>227</v>
      </c>
      <c r="K40" s="16"/>
      <c r="L40" s="16" t="s">
        <v>234</v>
      </c>
    </row>
    <row r="41" spans="1:12">
      <c r="A41">
        <v>40</v>
      </c>
      <c r="B41" s="16" t="s">
        <v>112</v>
      </c>
      <c r="C41" s="16" t="s">
        <v>246</v>
      </c>
      <c r="D41" s="16" t="s">
        <v>247</v>
      </c>
      <c r="E41" s="22" t="s">
        <v>251</v>
      </c>
      <c r="F41" s="22" t="s">
        <v>252</v>
      </c>
      <c r="G41" s="22" t="s">
        <v>253</v>
      </c>
      <c r="H41" s="16">
        <v>30</v>
      </c>
      <c r="I41" s="22" t="s">
        <v>232</v>
      </c>
      <c r="J41" s="16" t="s">
        <v>227</v>
      </c>
      <c r="K41" s="16"/>
      <c r="L41" s="16" t="s">
        <v>236</v>
      </c>
    </row>
    <row r="42" spans="1:12">
      <c r="A42">
        <v>41</v>
      </c>
      <c r="B42" s="16" t="s">
        <v>113</v>
      </c>
      <c r="C42" s="16" t="s">
        <v>246</v>
      </c>
      <c r="D42" s="16" t="s">
        <v>247</v>
      </c>
      <c r="E42" s="22" t="s">
        <v>254</v>
      </c>
      <c r="F42" s="22" t="s">
        <v>254</v>
      </c>
      <c r="G42" s="22" t="s">
        <v>255</v>
      </c>
      <c r="H42" s="16">
        <v>30</v>
      </c>
      <c r="I42" s="22" t="s">
        <v>229</v>
      </c>
      <c r="J42" s="16" t="s">
        <v>230</v>
      </c>
      <c r="K42" s="16" t="s">
        <v>291</v>
      </c>
      <c r="L42" s="16" t="s">
        <v>237</v>
      </c>
    </row>
    <row r="43" spans="1:12">
      <c r="A43">
        <v>42</v>
      </c>
      <c r="B43" s="16" t="s">
        <v>114</v>
      </c>
      <c r="C43" s="16" t="s">
        <v>246</v>
      </c>
      <c r="D43" s="16" t="s">
        <v>247</v>
      </c>
      <c r="E43" s="22" t="s">
        <v>254</v>
      </c>
      <c r="F43" s="22" t="s">
        <v>254</v>
      </c>
      <c r="G43" s="22" t="s">
        <v>255</v>
      </c>
      <c r="H43" s="16">
        <v>30</v>
      </c>
      <c r="I43" s="22" t="s">
        <v>229</v>
      </c>
      <c r="J43" s="16" t="s">
        <v>227</v>
      </c>
      <c r="K43" s="16"/>
      <c r="L43" s="16" t="s">
        <v>256</v>
      </c>
    </row>
    <row r="44" spans="1:12">
      <c r="A44">
        <v>43</v>
      </c>
      <c r="B44" s="16" t="s">
        <v>115</v>
      </c>
      <c r="C44" s="16" t="s">
        <v>246</v>
      </c>
      <c r="D44" s="16" t="s">
        <v>247</v>
      </c>
      <c r="E44" s="22" t="s">
        <v>254</v>
      </c>
      <c r="F44" s="22" t="s">
        <v>254</v>
      </c>
      <c r="G44" s="22" t="s">
        <v>255</v>
      </c>
      <c r="H44" s="16">
        <v>30</v>
      </c>
      <c r="I44" s="22" t="s">
        <v>235</v>
      </c>
      <c r="J44" s="16" t="s">
        <v>230</v>
      </c>
      <c r="K44" s="16" t="s">
        <v>291</v>
      </c>
      <c r="L44" s="16" t="s">
        <v>256</v>
      </c>
    </row>
    <row r="45" spans="1:12">
      <c r="A45">
        <v>44</v>
      </c>
      <c r="B45" s="16" t="s">
        <v>116</v>
      </c>
      <c r="C45" s="16" t="s">
        <v>246</v>
      </c>
      <c r="D45" s="16" t="s">
        <v>247</v>
      </c>
      <c r="E45" s="22" t="s">
        <v>254</v>
      </c>
      <c r="F45" s="22" t="s">
        <v>254</v>
      </c>
      <c r="G45" s="22" t="s">
        <v>255</v>
      </c>
      <c r="H45" s="16">
        <v>30</v>
      </c>
      <c r="I45" s="22" t="s">
        <v>235</v>
      </c>
      <c r="J45" s="16" t="s">
        <v>227</v>
      </c>
      <c r="K45" s="16"/>
      <c r="L45" s="16" t="s">
        <v>256</v>
      </c>
    </row>
    <row r="46" spans="1:12">
      <c r="A46">
        <v>45</v>
      </c>
      <c r="B46" s="16" t="s">
        <v>117</v>
      </c>
      <c r="C46" s="16" t="s">
        <v>246</v>
      </c>
      <c r="D46" s="16" t="s">
        <v>247</v>
      </c>
      <c r="E46" s="22" t="s">
        <v>252</v>
      </c>
      <c r="F46" s="22" t="s">
        <v>252</v>
      </c>
      <c r="G46" s="22" t="s">
        <v>251</v>
      </c>
      <c r="H46" s="16">
        <v>30</v>
      </c>
      <c r="I46" s="22" t="s">
        <v>229</v>
      </c>
      <c r="J46" s="16" t="s">
        <v>230</v>
      </c>
      <c r="K46" s="16" t="s">
        <v>291</v>
      </c>
      <c r="L46" s="16" t="s">
        <v>241</v>
      </c>
    </row>
    <row r="47" spans="1:12">
      <c r="A47">
        <v>46</v>
      </c>
      <c r="B47" s="16" t="s">
        <v>118</v>
      </c>
      <c r="C47" s="16" t="s">
        <v>246</v>
      </c>
      <c r="D47" s="16" t="s">
        <v>247</v>
      </c>
      <c r="E47" s="22" t="s">
        <v>252</v>
      </c>
      <c r="F47" s="22" t="s">
        <v>252</v>
      </c>
      <c r="G47" s="22" t="s">
        <v>251</v>
      </c>
      <c r="H47" s="16">
        <v>30</v>
      </c>
      <c r="I47" s="22" t="s">
        <v>229</v>
      </c>
      <c r="J47" s="16" t="s">
        <v>227</v>
      </c>
      <c r="K47" s="16"/>
      <c r="L47" s="16" t="s">
        <v>239</v>
      </c>
    </row>
    <row r="48" spans="1:12">
      <c r="A48">
        <v>47</v>
      </c>
      <c r="B48" s="16" t="s">
        <v>119</v>
      </c>
      <c r="C48" s="16" t="s">
        <v>246</v>
      </c>
      <c r="D48" s="16" t="s">
        <v>247</v>
      </c>
      <c r="E48" s="22" t="s">
        <v>252</v>
      </c>
      <c r="F48" s="22" t="s">
        <v>251</v>
      </c>
      <c r="G48" s="22" t="s">
        <v>252</v>
      </c>
      <c r="H48" s="16">
        <v>30</v>
      </c>
      <c r="I48" s="22" t="s">
        <v>232</v>
      </c>
      <c r="J48" s="16" t="s">
        <v>230</v>
      </c>
      <c r="K48" s="16" t="s">
        <v>291</v>
      </c>
      <c r="L48" s="16" t="s">
        <v>241</v>
      </c>
    </row>
    <row r="49" spans="1:12">
      <c r="A49">
        <v>48</v>
      </c>
      <c r="B49" s="16" t="s">
        <v>120</v>
      </c>
      <c r="C49" s="16" t="s">
        <v>246</v>
      </c>
      <c r="D49" s="16" t="s">
        <v>247</v>
      </c>
      <c r="E49" s="22" t="s">
        <v>252</v>
      </c>
      <c r="F49" s="22" t="s">
        <v>251</v>
      </c>
      <c r="G49" s="22" t="s">
        <v>252</v>
      </c>
      <c r="H49" s="16">
        <v>30</v>
      </c>
      <c r="I49" s="22" t="s">
        <v>232</v>
      </c>
      <c r="J49" s="16" t="s">
        <v>257</v>
      </c>
      <c r="K49" s="16"/>
      <c r="L49" s="16" t="s">
        <v>243</v>
      </c>
    </row>
    <row r="50" spans="1:12">
      <c r="A50">
        <v>49</v>
      </c>
      <c r="B50" s="16" t="s">
        <v>121</v>
      </c>
      <c r="C50" s="16" t="s">
        <v>246</v>
      </c>
      <c r="D50" s="16" t="s">
        <v>247</v>
      </c>
      <c r="E50" s="22" t="s">
        <v>258</v>
      </c>
      <c r="F50" s="22" t="s">
        <v>255</v>
      </c>
      <c r="G50" s="22" t="s">
        <v>258</v>
      </c>
      <c r="H50" s="16">
        <v>30</v>
      </c>
      <c r="I50" s="22" t="s">
        <v>232</v>
      </c>
      <c r="J50" s="16" t="s">
        <v>230</v>
      </c>
      <c r="K50" s="16" t="s">
        <v>291</v>
      </c>
      <c r="L50" s="16" t="s">
        <v>244</v>
      </c>
    </row>
    <row r="51" spans="1:12">
      <c r="A51">
        <v>50</v>
      </c>
      <c r="B51" s="16" t="s">
        <v>122</v>
      </c>
      <c r="C51" s="16" t="s">
        <v>246</v>
      </c>
      <c r="D51" s="16" t="s">
        <v>247</v>
      </c>
      <c r="E51" s="22" t="s">
        <v>255</v>
      </c>
      <c r="F51" s="22" t="s">
        <v>250</v>
      </c>
      <c r="G51" s="22" t="s">
        <v>250</v>
      </c>
      <c r="H51" s="16">
        <v>30</v>
      </c>
      <c r="I51" s="22" t="s">
        <v>235</v>
      </c>
      <c r="J51" s="16" t="s">
        <v>227</v>
      </c>
      <c r="K51" s="16"/>
      <c r="L51" s="16" t="s">
        <v>245</v>
      </c>
    </row>
    <row r="52" spans="1:12">
      <c r="A52">
        <v>51</v>
      </c>
      <c r="B52" s="16" t="s">
        <v>123</v>
      </c>
      <c r="C52" s="16" t="s">
        <v>246</v>
      </c>
      <c r="D52" s="16" t="s">
        <v>247</v>
      </c>
      <c r="E52" s="22" t="s">
        <v>255</v>
      </c>
      <c r="F52" s="22" t="s">
        <v>250</v>
      </c>
      <c r="G52" s="22" t="s">
        <v>250</v>
      </c>
      <c r="H52" s="16">
        <v>30</v>
      </c>
      <c r="I52" s="22" t="s">
        <v>232</v>
      </c>
      <c r="J52" s="16" t="s">
        <v>227</v>
      </c>
      <c r="K52" s="16"/>
      <c r="L52" s="16" t="s">
        <v>245</v>
      </c>
    </row>
    <row r="53" spans="1:12">
      <c r="A53">
        <v>52</v>
      </c>
      <c r="B53" s="16" t="s">
        <v>124</v>
      </c>
      <c r="C53" s="16" t="s">
        <v>246</v>
      </c>
      <c r="D53" s="16" t="s">
        <v>247</v>
      </c>
      <c r="E53" s="22" t="s">
        <v>258</v>
      </c>
      <c r="F53" s="22" t="s">
        <v>255</v>
      </c>
      <c r="G53" s="22" t="s">
        <v>258</v>
      </c>
      <c r="H53" s="16">
        <v>30</v>
      </c>
      <c r="I53" s="22" t="s">
        <v>235</v>
      </c>
      <c r="J53" s="16" t="s">
        <v>230</v>
      </c>
      <c r="K53" s="16" t="s">
        <v>291</v>
      </c>
      <c r="L53" s="16" t="s">
        <v>259</v>
      </c>
    </row>
    <row r="54" spans="1:12">
      <c r="A54">
        <v>53</v>
      </c>
      <c r="B54" s="16" t="s">
        <v>125</v>
      </c>
      <c r="C54" s="16" t="s">
        <v>246</v>
      </c>
      <c r="D54" s="16" t="s">
        <v>247</v>
      </c>
      <c r="E54" s="22" t="s">
        <v>253</v>
      </c>
      <c r="F54" s="22" t="s">
        <v>253</v>
      </c>
      <c r="G54" s="22" t="s">
        <v>251</v>
      </c>
      <c r="H54" s="16">
        <v>30</v>
      </c>
      <c r="I54" s="22" t="s">
        <v>232</v>
      </c>
      <c r="J54" s="16" t="s">
        <v>230</v>
      </c>
      <c r="K54" s="16" t="s">
        <v>291</v>
      </c>
      <c r="L54" s="16" t="s">
        <v>45</v>
      </c>
    </row>
    <row r="55" spans="1:12">
      <c r="A55">
        <v>54</v>
      </c>
      <c r="B55" s="16" t="s">
        <v>126</v>
      </c>
      <c r="C55" s="16" t="s">
        <v>246</v>
      </c>
      <c r="D55" s="16" t="s">
        <v>247</v>
      </c>
      <c r="E55" s="22" t="s">
        <v>253</v>
      </c>
      <c r="F55" s="22" t="s">
        <v>253</v>
      </c>
      <c r="G55" s="22" t="s">
        <v>251</v>
      </c>
      <c r="H55" s="16">
        <v>30</v>
      </c>
      <c r="I55" s="22" t="s">
        <v>232</v>
      </c>
      <c r="J55" s="16" t="s">
        <v>227</v>
      </c>
      <c r="K55" s="16"/>
      <c r="L55" s="16" t="s">
        <v>45</v>
      </c>
    </row>
    <row r="56" spans="1:12">
      <c r="A56">
        <v>55</v>
      </c>
      <c r="B56" s="16" t="s">
        <v>214</v>
      </c>
      <c r="C56" s="16" t="s">
        <v>215</v>
      </c>
      <c r="D56" s="16" t="s">
        <v>216</v>
      </c>
      <c r="E56" s="16" t="s">
        <v>217</v>
      </c>
      <c r="F56" s="16"/>
      <c r="G56" s="16"/>
      <c r="H56" s="16">
        <v>15</v>
      </c>
      <c r="I56" s="22" t="s">
        <v>235</v>
      </c>
      <c r="J56" s="16" t="s">
        <v>230</v>
      </c>
      <c r="K56" s="16"/>
      <c r="L56" s="16" t="s">
        <v>0</v>
      </c>
    </row>
    <row r="57" spans="1:12">
      <c r="A57">
        <v>56</v>
      </c>
      <c r="B57" s="16" t="s">
        <v>130</v>
      </c>
      <c r="C57" s="16" t="s">
        <v>215</v>
      </c>
      <c r="D57" s="16" t="s">
        <v>216</v>
      </c>
      <c r="E57" s="16" t="s">
        <v>218</v>
      </c>
      <c r="F57" s="16"/>
      <c r="G57" s="16"/>
      <c r="H57" s="16">
        <v>15</v>
      </c>
      <c r="I57" s="22" t="s">
        <v>229</v>
      </c>
      <c r="J57" s="16" t="s">
        <v>227</v>
      </c>
      <c r="K57" s="16"/>
      <c r="L57" s="16" t="s">
        <v>2</v>
      </c>
    </row>
    <row r="58" spans="1:12">
      <c r="A58">
        <v>57</v>
      </c>
      <c r="B58" s="16" t="s">
        <v>132</v>
      </c>
      <c r="C58" s="16" t="s">
        <v>215</v>
      </c>
      <c r="D58" s="16" t="s">
        <v>216</v>
      </c>
      <c r="E58" s="16" t="s">
        <v>219</v>
      </c>
      <c r="F58" s="16"/>
      <c r="G58" s="16"/>
      <c r="H58" s="16">
        <v>15</v>
      </c>
      <c r="I58" s="22" t="s">
        <v>232</v>
      </c>
      <c r="J58" s="16" t="s">
        <v>242</v>
      </c>
      <c r="K58" s="16"/>
      <c r="L58" s="16" t="s">
        <v>2</v>
      </c>
    </row>
    <row r="59" spans="1:12">
      <c r="A59">
        <v>58</v>
      </c>
      <c r="B59" s="16" t="s">
        <v>134</v>
      </c>
      <c r="C59" s="16" t="s">
        <v>215</v>
      </c>
      <c r="D59" s="16" t="s">
        <v>216</v>
      </c>
      <c r="E59" s="16" t="s">
        <v>218</v>
      </c>
      <c r="F59" s="16"/>
      <c r="G59" s="16"/>
      <c r="H59" s="16">
        <v>15</v>
      </c>
      <c r="I59" s="22" t="s">
        <v>235</v>
      </c>
      <c r="J59" s="16" t="s">
        <v>230</v>
      </c>
      <c r="K59" s="16"/>
      <c r="L59" s="16" t="s">
        <v>6</v>
      </c>
    </row>
    <row r="60" spans="1:12">
      <c r="A60">
        <v>59</v>
      </c>
      <c r="B60" s="16" t="s">
        <v>135</v>
      </c>
      <c r="C60" s="16" t="s">
        <v>215</v>
      </c>
      <c r="D60" s="16" t="s">
        <v>216</v>
      </c>
      <c r="E60" s="16" t="s">
        <v>217</v>
      </c>
      <c r="F60" s="16"/>
      <c r="G60" s="16"/>
      <c r="H60" s="16">
        <v>15</v>
      </c>
      <c r="I60" s="22" t="s">
        <v>235</v>
      </c>
      <c r="J60" s="16" t="s">
        <v>260</v>
      </c>
      <c r="K60" s="16"/>
      <c r="L60" s="16" t="s">
        <v>4</v>
      </c>
    </row>
    <row r="61" spans="1:12">
      <c r="A61">
        <v>60</v>
      </c>
      <c r="B61" s="16" t="s">
        <v>136</v>
      </c>
      <c r="C61" s="16" t="s">
        <v>215</v>
      </c>
      <c r="D61" s="16" t="s">
        <v>216</v>
      </c>
      <c r="E61" s="16" t="s">
        <v>218</v>
      </c>
      <c r="F61" s="16"/>
      <c r="G61" s="16"/>
      <c r="H61" s="16">
        <v>15</v>
      </c>
      <c r="I61" s="22" t="s">
        <v>235</v>
      </c>
      <c r="J61" s="16" t="s">
        <v>260</v>
      </c>
      <c r="K61" s="16"/>
      <c r="L61" s="16" t="s">
        <v>6</v>
      </c>
    </row>
    <row r="62" spans="1:12">
      <c r="A62">
        <v>61</v>
      </c>
      <c r="B62" s="16" t="s">
        <v>137</v>
      </c>
      <c r="C62" s="16" t="s">
        <v>215</v>
      </c>
      <c r="D62" s="16" t="s">
        <v>216</v>
      </c>
      <c r="E62" s="16" t="s">
        <v>220</v>
      </c>
      <c r="F62" s="16"/>
      <c r="G62" s="16"/>
      <c r="H62" s="16">
        <v>15</v>
      </c>
      <c r="I62" s="22" t="s">
        <v>232</v>
      </c>
      <c r="J62" s="16" t="s">
        <v>260</v>
      </c>
      <c r="K62" s="16"/>
      <c r="L62" s="16" t="s">
        <v>228</v>
      </c>
    </row>
    <row r="63" spans="1:12">
      <c r="A63">
        <v>62</v>
      </c>
      <c r="B63" s="16" t="s">
        <v>139</v>
      </c>
      <c r="C63" s="16" t="s">
        <v>215</v>
      </c>
      <c r="D63" s="16" t="s">
        <v>216</v>
      </c>
      <c r="E63" s="16" t="s">
        <v>220</v>
      </c>
      <c r="F63" s="16"/>
      <c r="G63" s="16"/>
      <c r="H63" s="16">
        <v>15</v>
      </c>
      <c r="I63" s="22" t="s">
        <v>232</v>
      </c>
      <c r="J63" s="16" t="s">
        <v>230</v>
      </c>
      <c r="K63" s="16"/>
      <c r="L63" s="16" t="s">
        <v>228</v>
      </c>
    </row>
    <row r="64" spans="1:12">
      <c r="A64">
        <v>63</v>
      </c>
      <c r="B64" s="16" t="s">
        <v>140</v>
      </c>
      <c r="C64" s="16" t="s">
        <v>215</v>
      </c>
      <c r="D64" s="16" t="s">
        <v>216</v>
      </c>
      <c r="E64" s="18" t="s">
        <v>221</v>
      </c>
      <c r="F64" s="18"/>
      <c r="G64" s="18"/>
      <c r="H64" s="16">
        <v>15</v>
      </c>
      <c r="I64" s="22" t="s">
        <v>229</v>
      </c>
      <c r="J64" s="16" t="s">
        <v>227</v>
      </c>
      <c r="K64" s="16"/>
      <c r="L64" s="16" t="s">
        <v>37</v>
      </c>
    </row>
    <row r="65" spans="1:12">
      <c r="A65">
        <v>64</v>
      </c>
      <c r="B65" s="16" t="s">
        <v>142</v>
      </c>
      <c r="C65" s="16" t="s">
        <v>215</v>
      </c>
      <c r="D65" s="16" t="s">
        <v>216</v>
      </c>
      <c r="E65" s="18" t="s">
        <v>221</v>
      </c>
      <c r="F65" s="18"/>
      <c r="G65" s="18"/>
      <c r="H65" s="16">
        <v>15</v>
      </c>
      <c r="I65" s="22" t="s">
        <v>235</v>
      </c>
      <c r="J65" s="16" t="s">
        <v>260</v>
      </c>
      <c r="K65" s="16"/>
      <c r="L65" s="16" t="s">
        <v>233</v>
      </c>
    </row>
    <row r="66" spans="1:12">
      <c r="A66">
        <v>65</v>
      </c>
      <c r="B66" s="16" t="s">
        <v>143</v>
      </c>
      <c r="C66" s="16" t="s">
        <v>215</v>
      </c>
      <c r="D66" s="16" t="s">
        <v>216</v>
      </c>
      <c r="E66" s="18" t="s">
        <v>221</v>
      </c>
      <c r="F66" s="18"/>
      <c r="G66" s="18"/>
      <c r="H66" s="16">
        <v>15</v>
      </c>
      <c r="I66" s="22" t="s">
        <v>235</v>
      </c>
      <c r="J66" s="16" t="s">
        <v>230</v>
      </c>
      <c r="K66" s="16"/>
      <c r="L66" s="16" t="s">
        <v>233</v>
      </c>
    </row>
    <row r="67" spans="1:12">
      <c r="A67">
        <v>66</v>
      </c>
      <c r="B67" s="16" t="s">
        <v>144</v>
      </c>
      <c r="C67" s="16" t="s">
        <v>215</v>
      </c>
      <c r="D67" s="16" t="s">
        <v>216</v>
      </c>
      <c r="E67" s="18" t="s">
        <v>221</v>
      </c>
      <c r="F67" s="18"/>
      <c r="G67" s="18"/>
      <c r="H67" s="16">
        <v>15</v>
      </c>
      <c r="I67" s="22" t="s">
        <v>235</v>
      </c>
      <c r="J67" s="16" t="s">
        <v>227</v>
      </c>
      <c r="K67" s="16"/>
      <c r="L67" s="16" t="s">
        <v>233</v>
      </c>
    </row>
    <row r="68" spans="1:12">
      <c r="A68">
        <v>67</v>
      </c>
      <c r="B68" s="16" t="s">
        <v>145</v>
      </c>
      <c r="C68" s="16" t="s">
        <v>215</v>
      </c>
      <c r="D68" s="16" t="s">
        <v>216</v>
      </c>
      <c r="E68" s="18" t="s">
        <v>221</v>
      </c>
      <c r="F68" s="18"/>
      <c r="G68" s="18"/>
      <c r="H68" s="16">
        <v>15</v>
      </c>
      <c r="I68" s="22" t="s">
        <v>232</v>
      </c>
      <c r="J68" s="16" t="s">
        <v>261</v>
      </c>
      <c r="K68" s="16"/>
      <c r="L68" s="16" t="s">
        <v>237</v>
      </c>
    </row>
    <row r="69" spans="1:12">
      <c r="A69">
        <v>68</v>
      </c>
      <c r="B69" s="16" t="s">
        <v>146</v>
      </c>
      <c r="C69" s="16" t="s">
        <v>215</v>
      </c>
      <c r="D69" s="16" t="s">
        <v>216</v>
      </c>
      <c r="E69" s="18" t="s">
        <v>221</v>
      </c>
      <c r="F69" s="18"/>
      <c r="G69" s="18"/>
      <c r="H69" s="16">
        <v>15</v>
      </c>
      <c r="I69" s="22" t="s">
        <v>232</v>
      </c>
      <c r="J69" s="16" t="s">
        <v>262</v>
      </c>
      <c r="K69" s="16"/>
      <c r="L69" s="16" t="s">
        <v>237</v>
      </c>
    </row>
    <row r="70" spans="1:12">
      <c r="A70">
        <v>69</v>
      </c>
      <c r="B70" s="16" t="s">
        <v>147</v>
      </c>
      <c r="C70" s="16" t="s">
        <v>215</v>
      </c>
      <c r="D70" s="16" t="s">
        <v>216</v>
      </c>
      <c r="E70" s="16" t="s">
        <v>220</v>
      </c>
      <c r="F70" s="18"/>
      <c r="G70" s="18"/>
      <c r="H70" s="16">
        <v>15</v>
      </c>
      <c r="I70" s="22" t="s">
        <v>235</v>
      </c>
      <c r="J70" s="16" t="s">
        <v>240</v>
      </c>
      <c r="K70" s="16"/>
      <c r="L70" s="16" t="s">
        <v>23</v>
      </c>
    </row>
    <row r="71" spans="1:12">
      <c r="A71">
        <v>70</v>
      </c>
      <c r="B71" s="16" t="s">
        <v>148</v>
      </c>
      <c r="C71" s="16" t="s">
        <v>215</v>
      </c>
      <c r="D71" s="16" t="s">
        <v>216</v>
      </c>
      <c r="E71" s="16" t="s">
        <v>220</v>
      </c>
      <c r="F71" s="18"/>
      <c r="G71" s="18"/>
      <c r="H71" s="16">
        <v>15</v>
      </c>
      <c r="I71" s="22" t="s">
        <v>235</v>
      </c>
      <c r="J71" s="16" t="s">
        <v>263</v>
      </c>
      <c r="K71" s="16"/>
      <c r="L71" s="16" t="s">
        <v>23</v>
      </c>
    </row>
    <row r="72" spans="1:12">
      <c r="A72">
        <v>71</v>
      </c>
      <c r="B72" s="16" t="s">
        <v>149</v>
      </c>
      <c r="C72" s="16" t="s">
        <v>215</v>
      </c>
      <c r="D72" s="16" t="s">
        <v>216</v>
      </c>
      <c r="E72" s="16" t="s">
        <v>220</v>
      </c>
      <c r="F72" s="16"/>
      <c r="G72" s="16"/>
      <c r="H72" s="16">
        <v>15</v>
      </c>
      <c r="I72" s="22" t="s">
        <v>235</v>
      </c>
      <c r="J72" s="16" t="s">
        <v>230</v>
      </c>
      <c r="K72" s="16"/>
      <c r="L72" s="16" t="s">
        <v>23</v>
      </c>
    </row>
    <row r="73" spans="1:12">
      <c r="A73">
        <v>72</v>
      </c>
      <c r="B73" s="16" t="s">
        <v>150</v>
      </c>
      <c r="C73" s="16" t="s">
        <v>215</v>
      </c>
      <c r="D73" s="16" t="s">
        <v>216</v>
      </c>
      <c r="E73" s="16" t="s">
        <v>220</v>
      </c>
      <c r="F73" s="16"/>
      <c r="G73" s="16"/>
      <c r="H73" s="16">
        <v>15</v>
      </c>
      <c r="I73" s="22" t="s">
        <v>235</v>
      </c>
      <c r="J73" s="16" t="s">
        <v>260</v>
      </c>
      <c r="K73" s="16"/>
      <c r="L73" s="16" t="s">
        <v>23</v>
      </c>
    </row>
    <row r="74" spans="1:12">
      <c r="A74">
        <v>73</v>
      </c>
      <c r="B74" s="16" t="s">
        <v>151</v>
      </c>
      <c r="C74" s="16" t="s">
        <v>215</v>
      </c>
      <c r="D74" s="16" t="s">
        <v>216</v>
      </c>
      <c r="E74" s="16" t="s">
        <v>217</v>
      </c>
      <c r="F74" s="16"/>
      <c r="G74" s="16"/>
      <c r="H74" s="16">
        <v>15</v>
      </c>
      <c r="I74" s="22" t="s">
        <v>229</v>
      </c>
      <c r="J74" s="16" t="s">
        <v>227</v>
      </c>
      <c r="K74" s="16"/>
      <c r="L74" s="16" t="s">
        <v>241</v>
      </c>
    </row>
    <row r="75" spans="1:12">
      <c r="A75">
        <v>74</v>
      </c>
      <c r="B75" s="16" t="s">
        <v>152</v>
      </c>
      <c r="C75" s="16" t="s">
        <v>215</v>
      </c>
      <c r="D75" s="16" t="s">
        <v>216</v>
      </c>
      <c r="E75" s="16" t="s">
        <v>217</v>
      </c>
      <c r="F75" s="16"/>
      <c r="G75" s="16"/>
      <c r="H75" s="16">
        <v>15</v>
      </c>
      <c r="I75" s="22" t="s">
        <v>229</v>
      </c>
      <c r="J75" s="16" t="s">
        <v>260</v>
      </c>
      <c r="K75" s="16"/>
      <c r="L75" s="16" t="s">
        <v>239</v>
      </c>
    </row>
    <row r="76" spans="1:12">
      <c r="A76">
        <v>75</v>
      </c>
      <c r="B76" s="16" t="s">
        <v>153</v>
      </c>
      <c r="C76" s="16" t="s">
        <v>215</v>
      </c>
      <c r="D76" s="16" t="s">
        <v>216</v>
      </c>
      <c r="E76" s="16" t="s">
        <v>217</v>
      </c>
      <c r="F76" s="16"/>
      <c r="G76" s="16"/>
      <c r="H76" s="16">
        <v>15</v>
      </c>
      <c r="I76" s="22" t="s">
        <v>229</v>
      </c>
      <c r="J76" s="16" t="s">
        <v>230</v>
      </c>
      <c r="K76" s="16"/>
      <c r="L76" s="16" t="s">
        <v>239</v>
      </c>
    </row>
    <row r="77" spans="1:12">
      <c r="A77">
        <v>76</v>
      </c>
      <c r="B77" s="16" t="s">
        <v>154</v>
      </c>
      <c r="C77" s="16" t="s">
        <v>215</v>
      </c>
      <c r="D77" s="16" t="s">
        <v>216</v>
      </c>
      <c r="E77" s="16" t="s">
        <v>217</v>
      </c>
      <c r="F77" s="16"/>
      <c r="G77" s="16"/>
      <c r="H77" s="16">
        <v>15</v>
      </c>
      <c r="I77" s="22" t="s">
        <v>229</v>
      </c>
      <c r="J77" s="16" t="s">
        <v>264</v>
      </c>
      <c r="K77" s="16"/>
      <c r="L77" s="16" t="s">
        <v>238</v>
      </c>
    </row>
    <row r="78" spans="1:12">
      <c r="A78">
        <v>77</v>
      </c>
      <c r="B78" s="16" t="s">
        <v>155</v>
      </c>
      <c r="C78" s="16" t="s">
        <v>215</v>
      </c>
      <c r="D78" s="16" t="s">
        <v>216</v>
      </c>
      <c r="E78" s="16" t="s">
        <v>218</v>
      </c>
      <c r="F78" s="16"/>
      <c r="G78" s="16"/>
      <c r="H78" s="16">
        <v>15</v>
      </c>
      <c r="I78" s="22" t="s">
        <v>232</v>
      </c>
      <c r="J78" s="16" t="s">
        <v>227</v>
      </c>
      <c r="K78" s="16"/>
      <c r="L78" s="16" t="s">
        <v>244</v>
      </c>
    </row>
    <row r="79" spans="1:12">
      <c r="A79">
        <v>78</v>
      </c>
      <c r="B79" s="16" t="s">
        <v>156</v>
      </c>
      <c r="C79" s="16" t="s">
        <v>215</v>
      </c>
      <c r="D79" s="16" t="s">
        <v>216</v>
      </c>
      <c r="E79" s="16" t="s">
        <v>218</v>
      </c>
      <c r="F79" s="16"/>
      <c r="G79" s="16"/>
      <c r="H79" s="16">
        <v>15</v>
      </c>
      <c r="I79" s="22" t="s">
        <v>232</v>
      </c>
      <c r="J79" s="16" t="s">
        <v>230</v>
      </c>
      <c r="K79" s="16"/>
      <c r="L79" s="16" t="s">
        <v>259</v>
      </c>
    </row>
    <row r="80" spans="1:12">
      <c r="A80">
        <v>79</v>
      </c>
      <c r="B80" s="16" t="s">
        <v>157</v>
      </c>
      <c r="C80" s="16" t="s">
        <v>215</v>
      </c>
      <c r="D80" s="16" t="s">
        <v>216</v>
      </c>
      <c r="E80" s="16" t="s">
        <v>218</v>
      </c>
      <c r="F80" s="16"/>
      <c r="G80" s="16"/>
      <c r="H80" s="16">
        <v>15</v>
      </c>
      <c r="I80" s="22" t="s">
        <v>232</v>
      </c>
      <c r="J80" s="16" t="s">
        <v>260</v>
      </c>
      <c r="K80" s="16"/>
      <c r="L80" s="16" t="s">
        <v>259</v>
      </c>
    </row>
    <row r="81" spans="1:12">
      <c r="A81">
        <v>80</v>
      </c>
      <c r="B81" s="16" t="s">
        <v>158</v>
      </c>
      <c r="C81" s="16" t="s">
        <v>215</v>
      </c>
      <c r="D81" s="16" t="s">
        <v>216</v>
      </c>
      <c r="E81" s="18" t="s">
        <v>222</v>
      </c>
      <c r="F81" s="16"/>
      <c r="G81" s="16"/>
      <c r="H81" s="16">
        <v>15</v>
      </c>
      <c r="I81" s="22" t="s">
        <v>229</v>
      </c>
      <c r="J81" s="16" t="s">
        <v>227</v>
      </c>
      <c r="K81" s="16"/>
      <c r="L81" s="16" t="s">
        <v>45</v>
      </c>
    </row>
    <row r="82" spans="1:12">
      <c r="A82">
        <v>81</v>
      </c>
      <c r="B82" s="16" t="s">
        <v>160</v>
      </c>
      <c r="C82" s="16" t="s">
        <v>215</v>
      </c>
      <c r="D82" s="16" t="s">
        <v>216</v>
      </c>
      <c r="E82" s="18" t="s">
        <v>219</v>
      </c>
      <c r="F82" s="16"/>
      <c r="G82" s="16"/>
      <c r="H82" s="16">
        <v>15</v>
      </c>
      <c r="I82" s="22" t="s">
        <v>229</v>
      </c>
      <c r="J82" s="16" t="s">
        <v>227</v>
      </c>
      <c r="K82" s="16"/>
      <c r="L82" s="16" t="s">
        <v>259</v>
      </c>
    </row>
    <row r="83" spans="1:12">
      <c r="A83">
        <v>82</v>
      </c>
      <c r="B83" s="16" t="s">
        <v>161</v>
      </c>
      <c r="C83" s="16" t="s">
        <v>215</v>
      </c>
      <c r="D83" s="16" t="s">
        <v>216</v>
      </c>
      <c r="E83" s="18" t="s">
        <v>222</v>
      </c>
      <c r="F83" s="16"/>
      <c r="G83" s="16"/>
      <c r="H83" s="16">
        <v>15</v>
      </c>
      <c r="I83" s="22" t="s">
        <v>229</v>
      </c>
      <c r="J83" s="16" t="s">
        <v>264</v>
      </c>
      <c r="K83" s="16"/>
      <c r="L83" s="16" t="s">
        <v>45</v>
      </c>
    </row>
    <row r="84" spans="1:12">
      <c r="A84">
        <v>83</v>
      </c>
      <c r="B84" s="19" t="s">
        <v>162</v>
      </c>
      <c r="C84" s="20" t="s">
        <v>265</v>
      </c>
      <c r="D84" s="20" t="s">
        <v>163</v>
      </c>
      <c r="E84" s="16" t="s">
        <v>266</v>
      </c>
      <c r="F84" s="19"/>
      <c r="G84" s="19"/>
      <c r="H84" s="19">
        <v>15</v>
      </c>
      <c r="I84" s="23" t="s">
        <v>235</v>
      </c>
      <c r="J84" s="16" t="s">
        <v>295</v>
      </c>
      <c r="K84" s="16" t="s">
        <v>296</v>
      </c>
      <c r="L84" s="16" t="s">
        <v>4</v>
      </c>
    </row>
    <row r="85" spans="1:12">
      <c r="A85">
        <v>84</v>
      </c>
      <c r="B85" s="19" t="s">
        <v>165</v>
      </c>
      <c r="C85" s="20" t="s">
        <v>265</v>
      </c>
      <c r="D85" s="20" t="s">
        <v>163</v>
      </c>
      <c r="E85" s="16" t="s">
        <v>266</v>
      </c>
      <c r="F85" s="19"/>
      <c r="G85" s="19"/>
      <c r="H85" s="19">
        <v>15</v>
      </c>
      <c r="I85" s="23" t="s">
        <v>235</v>
      </c>
      <c r="J85" s="16" t="s">
        <v>295</v>
      </c>
      <c r="K85" s="16" t="s">
        <v>296</v>
      </c>
      <c r="L85" s="16" t="s">
        <v>4</v>
      </c>
    </row>
    <row r="86" spans="1:12">
      <c r="A86">
        <v>85</v>
      </c>
      <c r="B86" s="19" t="s">
        <v>166</v>
      </c>
      <c r="C86" s="20" t="s">
        <v>265</v>
      </c>
      <c r="D86" s="20" t="s">
        <v>163</v>
      </c>
      <c r="E86" s="16" t="s">
        <v>266</v>
      </c>
      <c r="F86" s="19"/>
      <c r="G86" s="19"/>
      <c r="H86" s="19">
        <v>15</v>
      </c>
      <c r="I86" s="23" t="s">
        <v>232</v>
      </c>
      <c r="J86" s="16" t="s">
        <v>295</v>
      </c>
      <c r="K86" s="16" t="s">
        <v>296</v>
      </c>
      <c r="L86" s="16" t="s">
        <v>2</v>
      </c>
    </row>
    <row r="87" spans="1:12">
      <c r="A87">
        <v>86</v>
      </c>
      <c r="B87" s="19" t="s">
        <v>167</v>
      </c>
      <c r="C87" s="20" t="s">
        <v>265</v>
      </c>
      <c r="D87" s="20" t="s">
        <v>163</v>
      </c>
      <c r="E87" s="16" t="s">
        <v>219</v>
      </c>
      <c r="F87" s="19"/>
      <c r="G87" s="19"/>
      <c r="H87" s="19">
        <v>15</v>
      </c>
      <c r="I87" s="23" t="s">
        <v>232</v>
      </c>
      <c r="J87" s="16" t="s">
        <v>294</v>
      </c>
      <c r="K87" s="16" t="s">
        <v>288</v>
      </c>
      <c r="L87" s="16" t="s">
        <v>0</v>
      </c>
    </row>
    <row r="88" spans="1:12">
      <c r="A88">
        <v>87</v>
      </c>
      <c r="B88" s="19" t="s">
        <v>168</v>
      </c>
      <c r="C88" s="20" t="s">
        <v>265</v>
      </c>
      <c r="D88" s="20" t="s">
        <v>163</v>
      </c>
      <c r="E88" s="16" t="s">
        <v>62</v>
      </c>
      <c r="F88" s="19"/>
      <c r="G88" s="19"/>
      <c r="H88" s="19">
        <v>15</v>
      </c>
      <c r="I88" s="23" t="s">
        <v>232</v>
      </c>
      <c r="J88" s="16" t="s">
        <v>293</v>
      </c>
      <c r="K88" s="16" t="s">
        <v>291</v>
      </c>
      <c r="L88" s="16" t="s">
        <v>4</v>
      </c>
    </row>
    <row r="89" spans="1:12">
      <c r="A89">
        <v>88</v>
      </c>
      <c r="B89" s="19" t="s">
        <v>170</v>
      </c>
      <c r="C89" s="20" t="s">
        <v>265</v>
      </c>
      <c r="D89" s="20" t="s">
        <v>163</v>
      </c>
      <c r="E89" s="16" t="s">
        <v>218</v>
      </c>
      <c r="F89" s="19"/>
      <c r="G89" s="19"/>
      <c r="H89" s="19">
        <v>15</v>
      </c>
      <c r="I89" s="23" t="s">
        <v>235</v>
      </c>
      <c r="J89" s="16" t="s">
        <v>294</v>
      </c>
      <c r="K89" s="16" t="s">
        <v>288</v>
      </c>
      <c r="L89" s="16" t="s">
        <v>0</v>
      </c>
    </row>
    <row r="90" spans="1:12">
      <c r="A90">
        <v>89</v>
      </c>
      <c r="B90" s="19" t="s">
        <v>171</v>
      </c>
      <c r="C90" s="20" t="s">
        <v>265</v>
      </c>
      <c r="D90" s="20" t="s">
        <v>163</v>
      </c>
      <c r="E90" s="16" t="s">
        <v>220</v>
      </c>
      <c r="F90" s="19"/>
      <c r="G90" s="19"/>
      <c r="H90" s="19">
        <v>15</v>
      </c>
      <c r="I90" s="23" t="s">
        <v>232</v>
      </c>
      <c r="J90" s="16" t="s">
        <v>294</v>
      </c>
      <c r="K90" s="16" t="s">
        <v>288</v>
      </c>
      <c r="L90" s="16" t="s">
        <v>228</v>
      </c>
    </row>
    <row r="91" spans="1:12">
      <c r="A91">
        <v>90</v>
      </c>
      <c r="B91" s="19" t="s">
        <v>172</v>
      </c>
      <c r="C91" s="20" t="s">
        <v>265</v>
      </c>
      <c r="D91" s="20" t="s">
        <v>163</v>
      </c>
      <c r="E91" s="16" t="s">
        <v>75</v>
      </c>
      <c r="F91" s="19"/>
      <c r="G91" s="19"/>
      <c r="H91" s="19">
        <v>15</v>
      </c>
      <c r="I91" s="23" t="s">
        <v>232</v>
      </c>
      <c r="J91" s="16" t="s">
        <v>240</v>
      </c>
      <c r="K91" s="16" t="s">
        <v>289</v>
      </c>
      <c r="L91" s="16" t="s">
        <v>238</v>
      </c>
    </row>
    <row r="92" spans="1:12">
      <c r="A92">
        <v>91</v>
      </c>
      <c r="B92" s="19" t="s">
        <v>174</v>
      </c>
      <c r="C92" s="20" t="s">
        <v>265</v>
      </c>
      <c r="D92" s="20" t="s">
        <v>163</v>
      </c>
      <c r="E92" s="16" t="s">
        <v>267</v>
      </c>
      <c r="F92" s="19"/>
      <c r="G92" s="19"/>
      <c r="H92" s="19">
        <v>15</v>
      </c>
      <c r="I92" s="23" t="s">
        <v>232</v>
      </c>
      <c r="J92" s="16" t="s">
        <v>294</v>
      </c>
      <c r="K92" s="16" t="s">
        <v>288</v>
      </c>
      <c r="L92" s="16" t="s">
        <v>37</v>
      </c>
    </row>
    <row r="93" spans="1:12">
      <c r="A93">
        <v>92</v>
      </c>
      <c r="B93" s="19" t="s">
        <v>176</v>
      </c>
      <c r="C93" s="20" t="s">
        <v>265</v>
      </c>
      <c r="D93" s="20" t="s">
        <v>163</v>
      </c>
      <c r="E93" s="16" t="s">
        <v>268</v>
      </c>
      <c r="F93" s="19"/>
      <c r="G93" s="19"/>
      <c r="H93" s="19">
        <v>15</v>
      </c>
      <c r="I93" s="23" t="s">
        <v>232</v>
      </c>
      <c r="J93" s="16" t="s">
        <v>293</v>
      </c>
      <c r="K93" s="16" t="s">
        <v>291</v>
      </c>
      <c r="L93" s="16" t="s">
        <v>233</v>
      </c>
    </row>
    <row r="94" spans="1:12">
      <c r="A94">
        <v>93</v>
      </c>
      <c r="B94" s="19" t="s">
        <v>177</v>
      </c>
      <c r="C94" s="20" t="s">
        <v>265</v>
      </c>
      <c r="D94" s="20" t="s">
        <v>163</v>
      </c>
      <c r="E94" s="16" t="s">
        <v>268</v>
      </c>
      <c r="F94" s="19"/>
      <c r="G94" s="19"/>
      <c r="H94" s="19">
        <v>15</v>
      </c>
      <c r="I94" s="23" t="s">
        <v>232</v>
      </c>
      <c r="J94" s="16" t="s">
        <v>294</v>
      </c>
      <c r="K94" s="16" t="s">
        <v>288</v>
      </c>
      <c r="L94" s="16" t="s">
        <v>233</v>
      </c>
    </row>
    <row r="95" spans="1:12">
      <c r="A95">
        <v>94</v>
      </c>
      <c r="B95" s="19" t="s">
        <v>178</v>
      </c>
      <c r="C95" s="20" t="s">
        <v>265</v>
      </c>
      <c r="D95" s="20" t="s">
        <v>163</v>
      </c>
      <c r="E95" s="16" t="s">
        <v>269</v>
      </c>
      <c r="F95" s="19"/>
      <c r="G95" s="19"/>
      <c r="H95" s="19">
        <v>15</v>
      </c>
      <c r="I95" s="23" t="s">
        <v>232</v>
      </c>
      <c r="J95" s="16" t="s">
        <v>293</v>
      </c>
      <c r="K95" s="16" t="s">
        <v>291</v>
      </c>
      <c r="L95" s="16" t="s">
        <v>236</v>
      </c>
    </row>
    <row r="96" spans="1:12">
      <c r="A96">
        <v>95</v>
      </c>
      <c r="B96" s="19" t="s">
        <v>180</v>
      </c>
      <c r="C96" s="20" t="s">
        <v>265</v>
      </c>
      <c r="D96" s="20" t="s">
        <v>163</v>
      </c>
      <c r="E96" s="18" t="s">
        <v>268</v>
      </c>
      <c r="F96" s="19"/>
      <c r="G96" s="19"/>
      <c r="H96" s="19">
        <v>15</v>
      </c>
      <c r="I96" s="23" t="s">
        <v>229</v>
      </c>
      <c r="J96" s="16" t="s">
        <v>294</v>
      </c>
      <c r="K96" s="16" t="s">
        <v>288</v>
      </c>
      <c r="L96" s="16" t="s">
        <v>237</v>
      </c>
    </row>
    <row r="97" spans="1:12">
      <c r="A97">
        <v>96</v>
      </c>
      <c r="B97" s="19" t="s">
        <v>181</v>
      </c>
      <c r="C97" s="20" t="s">
        <v>265</v>
      </c>
      <c r="D97" s="20" t="s">
        <v>163</v>
      </c>
      <c r="E97" s="18" t="s">
        <v>268</v>
      </c>
      <c r="F97" s="19"/>
      <c r="G97" s="19"/>
      <c r="H97" s="19">
        <v>15</v>
      </c>
      <c r="I97" s="23" t="s">
        <v>229</v>
      </c>
      <c r="J97" s="16" t="s">
        <v>293</v>
      </c>
      <c r="K97" s="16" t="s">
        <v>291</v>
      </c>
      <c r="L97" s="16" t="s">
        <v>256</v>
      </c>
    </row>
    <row r="98" spans="1:12">
      <c r="A98">
        <v>97</v>
      </c>
      <c r="B98" s="21" t="s">
        <v>182</v>
      </c>
      <c r="C98" s="20" t="s">
        <v>265</v>
      </c>
      <c r="D98" s="20" t="s">
        <v>163</v>
      </c>
      <c r="E98" s="18" t="s">
        <v>222</v>
      </c>
      <c r="F98" s="19"/>
      <c r="G98" s="19"/>
      <c r="H98" s="19">
        <v>15</v>
      </c>
      <c r="I98" s="23" t="s">
        <v>232</v>
      </c>
      <c r="J98" s="16" t="s">
        <v>294</v>
      </c>
      <c r="K98" s="16" t="s">
        <v>288</v>
      </c>
      <c r="L98" s="16" t="s">
        <v>256</v>
      </c>
    </row>
    <row r="99" spans="1:12">
      <c r="A99">
        <v>98</v>
      </c>
      <c r="B99" s="21" t="s">
        <v>187</v>
      </c>
      <c r="C99" s="20" t="s">
        <v>265</v>
      </c>
      <c r="D99" s="20" t="s">
        <v>163</v>
      </c>
      <c r="E99" s="18" t="s">
        <v>270</v>
      </c>
      <c r="F99" s="19"/>
      <c r="G99" s="19"/>
      <c r="H99" s="19">
        <v>15</v>
      </c>
      <c r="I99" s="23" t="s">
        <v>232</v>
      </c>
      <c r="J99" s="16" t="s">
        <v>293</v>
      </c>
      <c r="K99" s="16" t="s">
        <v>291</v>
      </c>
      <c r="L99" s="16" t="s">
        <v>238</v>
      </c>
    </row>
    <row r="100" spans="1:12">
      <c r="A100">
        <v>99</v>
      </c>
      <c r="B100" s="19" t="s">
        <v>189</v>
      </c>
      <c r="C100" s="20" t="s">
        <v>265</v>
      </c>
      <c r="D100" s="20" t="s">
        <v>163</v>
      </c>
      <c r="E100" s="18" t="s">
        <v>270</v>
      </c>
      <c r="F100" s="19"/>
      <c r="G100" s="19"/>
      <c r="H100" s="19">
        <v>15</v>
      </c>
      <c r="I100" s="23" t="s">
        <v>232</v>
      </c>
      <c r="J100" s="16" t="s">
        <v>294</v>
      </c>
      <c r="K100" s="16" t="s">
        <v>288</v>
      </c>
      <c r="L100" s="16" t="s">
        <v>239</v>
      </c>
    </row>
    <row r="101" spans="1:12">
      <c r="A101">
        <v>100</v>
      </c>
      <c r="B101" s="19" t="s">
        <v>190</v>
      </c>
      <c r="C101" s="20" t="s">
        <v>265</v>
      </c>
      <c r="D101" s="20" t="s">
        <v>163</v>
      </c>
      <c r="E101" s="18" t="s">
        <v>270</v>
      </c>
      <c r="F101" s="19"/>
      <c r="G101" s="19"/>
      <c r="H101" s="19">
        <v>15</v>
      </c>
      <c r="I101" s="23" t="s">
        <v>235</v>
      </c>
      <c r="J101" s="16" t="s">
        <v>293</v>
      </c>
      <c r="K101" s="16" t="s">
        <v>291</v>
      </c>
      <c r="L101" s="16" t="s">
        <v>241</v>
      </c>
    </row>
    <row r="102" spans="1:12">
      <c r="A102">
        <v>101</v>
      </c>
      <c r="B102" s="19" t="s">
        <v>191</v>
      </c>
      <c r="C102" s="20" t="s">
        <v>265</v>
      </c>
      <c r="D102" s="20" t="s">
        <v>163</v>
      </c>
      <c r="E102" s="16" t="s">
        <v>271</v>
      </c>
      <c r="F102" s="19"/>
      <c r="G102" s="19"/>
      <c r="H102" s="19">
        <v>15</v>
      </c>
      <c r="I102" s="23" t="s">
        <v>229</v>
      </c>
      <c r="J102" s="16" t="s">
        <v>290</v>
      </c>
      <c r="K102" s="16" t="s">
        <v>294</v>
      </c>
      <c r="L102" s="16" t="s">
        <v>238</v>
      </c>
    </row>
    <row r="103" spans="1:12">
      <c r="A103">
        <v>102</v>
      </c>
      <c r="B103" s="19" t="s">
        <v>193</v>
      </c>
      <c r="C103" s="20" t="s">
        <v>265</v>
      </c>
      <c r="D103" s="20" t="s">
        <v>163</v>
      </c>
      <c r="E103" s="16" t="s">
        <v>268</v>
      </c>
      <c r="F103" s="19"/>
      <c r="G103" s="19"/>
      <c r="H103" s="19">
        <v>15</v>
      </c>
      <c r="I103" s="23" t="s">
        <v>235</v>
      </c>
      <c r="J103" s="16" t="s">
        <v>293</v>
      </c>
      <c r="K103" s="16" t="s">
        <v>291</v>
      </c>
      <c r="L103" s="16" t="s">
        <v>244</v>
      </c>
    </row>
    <row r="104" spans="1:12">
      <c r="A104">
        <v>103</v>
      </c>
      <c r="B104" s="19" t="s">
        <v>194</v>
      </c>
      <c r="C104" s="20" t="s">
        <v>265</v>
      </c>
      <c r="D104" s="20" t="s">
        <v>163</v>
      </c>
      <c r="E104" s="16" t="s">
        <v>267</v>
      </c>
      <c r="F104" s="19"/>
      <c r="G104" s="19"/>
      <c r="H104" s="19">
        <v>15</v>
      </c>
      <c r="I104" s="23" t="s">
        <v>229</v>
      </c>
      <c r="J104" s="16" t="s">
        <v>294</v>
      </c>
      <c r="K104" s="16" t="s">
        <v>288</v>
      </c>
      <c r="L104" s="16" t="s">
        <v>244</v>
      </c>
    </row>
    <row r="105" spans="1:12">
      <c r="A105">
        <v>104</v>
      </c>
      <c r="B105" s="19" t="s">
        <v>195</v>
      </c>
      <c r="C105" s="20" t="s">
        <v>265</v>
      </c>
      <c r="D105" s="20" t="s">
        <v>163</v>
      </c>
      <c r="E105" s="16" t="s">
        <v>268</v>
      </c>
      <c r="F105" s="19"/>
      <c r="G105" s="19"/>
      <c r="H105" s="19">
        <v>15</v>
      </c>
      <c r="I105" s="23" t="s">
        <v>235</v>
      </c>
      <c r="J105" s="16" t="s">
        <v>294</v>
      </c>
      <c r="K105" s="16" t="s">
        <v>288</v>
      </c>
      <c r="L105" s="16" t="s">
        <v>244</v>
      </c>
    </row>
    <row r="106" spans="1:12">
      <c r="A106">
        <v>105</v>
      </c>
      <c r="B106" s="19" t="s">
        <v>197</v>
      </c>
      <c r="C106" s="20" t="s">
        <v>265</v>
      </c>
      <c r="D106" s="20" t="s">
        <v>163</v>
      </c>
      <c r="E106" s="16" t="s">
        <v>270</v>
      </c>
      <c r="F106" s="19"/>
      <c r="G106" s="19"/>
      <c r="H106" s="19">
        <v>15</v>
      </c>
      <c r="I106" s="23" t="s">
        <v>229</v>
      </c>
      <c r="J106" s="16" t="s">
        <v>293</v>
      </c>
      <c r="K106" s="16" t="s">
        <v>291</v>
      </c>
      <c r="L106" s="16" t="s">
        <v>245</v>
      </c>
    </row>
    <row r="107" spans="1:12">
      <c r="A107">
        <v>106</v>
      </c>
      <c r="B107" s="19" t="s">
        <v>198</v>
      </c>
      <c r="C107" s="20" t="s">
        <v>265</v>
      </c>
      <c r="D107" s="20" t="s">
        <v>163</v>
      </c>
      <c r="E107" s="16" t="s">
        <v>267</v>
      </c>
      <c r="F107" s="19"/>
      <c r="G107" s="19"/>
      <c r="H107" s="19">
        <v>15</v>
      </c>
      <c r="I107" s="23" t="s">
        <v>229</v>
      </c>
      <c r="J107" s="16" t="s">
        <v>293</v>
      </c>
      <c r="K107" s="16" t="s">
        <v>291</v>
      </c>
      <c r="L107" s="16" t="s">
        <v>259</v>
      </c>
    </row>
    <row r="108" spans="1:12">
      <c r="A108">
        <v>107</v>
      </c>
      <c r="B108" s="16" t="s">
        <v>272</v>
      </c>
      <c r="C108" s="16" t="s">
        <v>200</v>
      </c>
      <c r="D108" s="16" t="s">
        <v>201</v>
      </c>
      <c r="E108" s="16" t="s">
        <v>220</v>
      </c>
      <c r="F108" s="16"/>
      <c r="G108" s="16"/>
      <c r="H108" s="16">
        <v>15</v>
      </c>
      <c r="I108" s="22" t="s">
        <v>229</v>
      </c>
      <c r="J108" s="16" t="s">
        <v>293</v>
      </c>
      <c r="K108" s="16" t="s">
        <v>291</v>
      </c>
      <c r="L108" s="16" t="s">
        <v>6</v>
      </c>
    </row>
    <row r="109" spans="1:12">
      <c r="A109">
        <v>108</v>
      </c>
      <c r="B109" s="16" t="s">
        <v>273</v>
      </c>
      <c r="C109" s="16" t="s">
        <v>200</v>
      </c>
      <c r="D109" s="16" t="s">
        <v>201</v>
      </c>
      <c r="E109" s="16" t="s">
        <v>220</v>
      </c>
      <c r="F109" s="16"/>
      <c r="G109" s="16"/>
      <c r="H109" s="16">
        <v>15</v>
      </c>
      <c r="I109" s="22" t="s">
        <v>229</v>
      </c>
      <c r="J109" s="16" t="s">
        <v>294</v>
      </c>
      <c r="K109" s="16" t="s">
        <v>288</v>
      </c>
      <c r="L109" s="16" t="s">
        <v>236</v>
      </c>
    </row>
    <row r="1048576" spans="11:11">
      <c r="K1048576" s="16"/>
    </row>
  </sheetData>
  <autoFilter ref="A1:L109" xr:uid="{9B5BDA17-CDF6-443C-BE2B-3CCEE467DAB8}"/>
  <phoneticPr fontId="2" type="noConversion"/>
  <conditionalFormatting sqref="H1:I109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7CA0F-38D5-4D1D-BB3B-930A5E9983F3}">
  <dimension ref="A1:G38"/>
  <sheetViews>
    <sheetView workbookViewId="0">
      <selection activeCell="I9" sqref="I9"/>
    </sheetView>
  </sheetViews>
  <sheetFormatPr defaultRowHeight="16.5"/>
  <cols>
    <col min="2" max="2" width="19" bestFit="1" customWidth="1"/>
  </cols>
  <sheetData>
    <row r="1" spans="1:7" ht="24">
      <c r="A1" s="25" t="s">
        <v>297</v>
      </c>
      <c r="B1" s="26" t="s">
        <v>298</v>
      </c>
      <c r="C1" s="27" t="s">
        <v>57</v>
      </c>
      <c r="D1" s="27" t="s">
        <v>246</v>
      </c>
      <c r="E1" s="28" t="s">
        <v>128</v>
      </c>
      <c r="F1" s="29" t="s">
        <v>302</v>
      </c>
      <c r="G1" s="27" t="s">
        <v>303</v>
      </c>
    </row>
    <row r="2" spans="1:7">
      <c r="A2" s="25">
        <v>1</v>
      </c>
      <c r="B2" s="26" t="s">
        <v>133</v>
      </c>
      <c r="C2" s="25"/>
      <c r="D2" s="25"/>
      <c r="E2" s="25">
        <v>1</v>
      </c>
      <c r="F2" s="25"/>
      <c r="G2" s="25"/>
    </row>
    <row r="3" spans="1:7">
      <c r="A3" s="25">
        <v>2</v>
      </c>
      <c r="B3" s="26" t="s">
        <v>129</v>
      </c>
      <c r="C3" s="25"/>
      <c r="D3" s="25"/>
      <c r="E3" s="25">
        <v>3</v>
      </c>
      <c r="F3" s="25"/>
      <c r="G3" s="25"/>
    </row>
    <row r="4" spans="1:7">
      <c r="A4" s="25">
        <v>3</v>
      </c>
      <c r="B4" s="26" t="s">
        <v>299</v>
      </c>
      <c r="C4" s="25">
        <v>4</v>
      </c>
      <c r="D4" s="25"/>
      <c r="E4" s="25"/>
      <c r="F4" s="25"/>
      <c r="G4" s="25"/>
    </row>
    <row r="5" spans="1:7">
      <c r="A5" s="25">
        <v>4</v>
      </c>
      <c r="B5" s="26" t="s">
        <v>131</v>
      </c>
      <c r="C5" s="25"/>
      <c r="D5" s="25"/>
      <c r="E5" s="25">
        <v>6</v>
      </c>
      <c r="F5" s="25"/>
      <c r="G5" s="25">
        <v>4</v>
      </c>
    </row>
    <row r="6" spans="1:7">
      <c r="A6" s="25">
        <v>5</v>
      </c>
      <c r="B6" s="26" t="s">
        <v>169</v>
      </c>
      <c r="C6" s="25">
        <v>4</v>
      </c>
      <c r="D6" s="25"/>
      <c r="E6" s="25"/>
      <c r="F6" s="25"/>
      <c r="G6" s="25"/>
    </row>
    <row r="7" spans="1:7">
      <c r="A7" s="25">
        <v>6</v>
      </c>
      <c r="B7" s="26" t="s">
        <v>77</v>
      </c>
      <c r="C7" s="25">
        <v>5</v>
      </c>
      <c r="D7" s="25"/>
      <c r="E7" s="25"/>
      <c r="F7" s="25"/>
      <c r="G7" s="25"/>
    </row>
    <row r="8" spans="1:7">
      <c r="A8" s="25">
        <v>7</v>
      </c>
      <c r="B8" s="26" t="s">
        <v>300</v>
      </c>
      <c r="C8" s="25"/>
      <c r="D8" s="25"/>
      <c r="E8" s="25"/>
      <c r="F8" s="25"/>
      <c r="G8" s="25">
        <v>5</v>
      </c>
    </row>
    <row r="9" spans="1:7">
      <c r="A9" s="25">
        <v>8</v>
      </c>
      <c r="B9" s="26" t="s">
        <v>138</v>
      </c>
      <c r="C9" s="25"/>
      <c r="D9" s="25"/>
      <c r="E9" s="25">
        <v>6</v>
      </c>
      <c r="F9" s="25">
        <v>2</v>
      </c>
      <c r="G9" s="25">
        <v>1</v>
      </c>
    </row>
    <row r="10" spans="1:7">
      <c r="A10" s="25">
        <v>9</v>
      </c>
      <c r="B10" s="26" t="s">
        <v>101</v>
      </c>
      <c r="C10" s="25"/>
      <c r="D10" s="25">
        <v>6</v>
      </c>
      <c r="E10" s="25"/>
      <c r="F10" s="25"/>
      <c r="G10" s="25"/>
    </row>
    <row r="11" spans="1:7">
      <c r="A11" s="25">
        <v>10</v>
      </c>
      <c r="B11" s="26" t="s">
        <v>301</v>
      </c>
      <c r="C11" s="25"/>
      <c r="D11" s="25">
        <v>6</v>
      </c>
      <c r="E11" s="25"/>
      <c r="F11" s="25"/>
      <c r="G11" s="25"/>
    </row>
    <row r="12" spans="1:7">
      <c r="A12" s="25">
        <v>11</v>
      </c>
      <c r="B12" s="26" t="s">
        <v>141</v>
      </c>
      <c r="C12" s="25"/>
      <c r="D12" s="25"/>
      <c r="E12" s="25">
        <v>6</v>
      </c>
      <c r="F12" s="25"/>
      <c r="G12" s="25"/>
    </row>
    <row r="13" spans="1:7">
      <c r="A13" s="25">
        <v>12</v>
      </c>
      <c r="B13" s="26" t="s">
        <v>164</v>
      </c>
      <c r="C13" s="25"/>
      <c r="D13" s="25"/>
      <c r="E13" s="25"/>
      <c r="F13" s="25"/>
      <c r="G13" s="25">
        <v>2</v>
      </c>
    </row>
    <row r="14" spans="1:7">
      <c r="B14" s="30" t="s">
        <v>133</v>
      </c>
      <c r="C14" s="32"/>
      <c r="D14" s="32"/>
      <c r="E14" s="33">
        <v>2</v>
      </c>
      <c r="F14" s="32"/>
      <c r="G14" s="32">
        <v>1</v>
      </c>
    </row>
    <row r="15" spans="1:7">
      <c r="B15" s="30" t="s">
        <v>129</v>
      </c>
      <c r="C15" s="32"/>
      <c r="D15" s="32"/>
      <c r="E15" s="32">
        <v>3</v>
      </c>
      <c r="F15" s="32"/>
      <c r="G15" s="32"/>
    </row>
    <row r="16" spans="1:7">
      <c r="B16" s="30" t="s">
        <v>299</v>
      </c>
      <c r="C16" s="33">
        <v>1</v>
      </c>
      <c r="D16" s="32"/>
      <c r="E16" s="32"/>
      <c r="F16" s="32"/>
      <c r="G16" s="32"/>
    </row>
    <row r="17" spans="2:7">
      <c r="B17" s="30" t="s">
        <v>131</v>
      </c>
      <c r="C17" s="32"/>
      <c r="D17" s="32"/>
      <c r="E17" s="32">
        <v>3</v>
      </c>
      <c r="F17" s="32"/>
      <c r="G17" s="32"/>
    </row>
    <row r="18" spans="2:7">
      <c r="B18" s="30" t="s">
        <v>169</v>
      </c>
      <c r="C18" s="32"/>
      <c r="D18" s="32"/>
      <c r="E18" s="32"/>
      <c r="F18" s="32"/>
      <c r="G18" s="33">
        <v>2</v>
      </c>
    </row>
    <row r="19" spans="2:7">
      <c r="B19" s="30" t="s">
        <v>77</v>
      </c>
      <c r="C19" s="32">
        <v>1</v>
      </c>
      <c r="D19" s="32"/>
      <c r="E19" s="32"/>
      <c r="F19" s="32"/>
      <c r="G19" s="32"/>
    </row>
    <row r="20" spans="2:7">
      <c r="B20" s="30" t="s">
        <v>300</v>
      </c>
      <c r="C20" s="32"/>
      <c r="D20" s="32"/>
      <c r="E20" s="32"/>
      <c r="F20" s="32"/>
      <c r="G20" s="32">
        <v>1</v>
      </c>
    </row>
    <row r="21" spans="2:7">
      <c r="B21" s="30" t="s">
        <v>138</v>
      </c>
      <c r="C21" s="32"/>
      <c r="D21" s="32"/>
      <c r="E21" s="32"/>
      <c r="F21" s="32"/>
      <c r="G21" s="32"/>
    </row>
    <row r="22" spans="2:7">
      <c r="B22" s="30" t="s">
        <v>101</v>
      </c>
      <c r="C22" s="32"/>
      <c r="D22" s="32"/>
      <c r="E22" s="32"/>
      <c r="F22" s="32"/>
      <c r="G22" s="32"/>
    </row>
    <row r="23" spans="2:7">
      <c r="B23" s="30" t="s">
        <v>102</v>
      </c>
      <c r="C23" s="34"/>
      <c r="D23" s="34"/>
      <c r="E23" s="34"/>
      <c r="F23" s="34"/>
      <c r="G23" s="34"/>
    </row>
    <row r="24" spans="2:7">
      <c r="B24" s="31" t="s">
        <v>304</v>
      </c>
      <c r="C24" s="34">
        <v>4</v>
      </c>
      <c r="D24" s="34"/>
      <c r="E24" s="34"/>
      <c r="F24" s="34"/>
      <c r="G24" s="34"/>
    </row>
    <row r="25" spans="2:7">
      <c r="B25" s="31" t="s">
        <v>80</v>
      </c>
      <c r="C25" s="34">
        <v>4</v>
      </c>
      <c r="D25" s="34"/>
      <c r="E25" s="34"/>
      <c r="F25" s="34"/>
      <c r="G25" s="34"/>
    </row>
    <row r="26" spans="2:7">
      <c r="B26" s="31" t="s">
        <v>72</v>
      </c>
      <c r="C26" s="34">
        <v>4</v>
      </c>
      <c r="D26" s="34"/>
      <c r="E26" s="34"/>
      <c r="F26" s="34"/>
      <c r="G26" s="34"/>
    </row>
    <row r="27" spans="2:7">
      <c r="B27" s="31" t="s">
        <v>173</v>
      </c>
      <c r="C27" s="34">
        <v>2</v>
      </c>
      <c r="D27" s="34"/>
      <c r="E27" s="34"/>
      <c r="F27" s="34"/>
      <c r="G27" s="34">
        <v>60</v>
      </c>
    </row>
    <row r="28" spans="2:7">
      <c r="B28" s="31" t="s">
        <v>305</v>
      </c>
      <c r="C28" s="34"/>
      <c r="D28" s="34">
        <v>2</v>
      </c>
      <c r="E28" s="34"/>
      <c r="F28" s="34"/>
      <c r="G28" s="34"/>
    </row>
    <row r="29" spans="2:7">
      <c r="B29" s="31" t="s">
        <v>110</v>
      </c>
      <c r="C29" s="34"/>
      <c r="D29" s="34">
        <v>4</v>
      </c>
      <c r="E29" s="34"/>
      <c r="F29" s="34"/>
      <c r="G29" s="34"/>
    </row>
    <row r="30" spans="2:7">
      <c r="B30" s="31" t="s">
        <v>105</v>
      </c>
      <c r="C30" s="34"/>
      <c r="D30" s="34">
        <v>2</v>
      </c>
      <c r="E30" s="34"/>
      <c r="F30" s="34"/>
      <c r="G30" s="34"/>
    </row>
    <row r="31" spans="2:7">
      <c r="B31" s="31" t="s">
        <v>100</v>
      </c>
      <c r="C31" s="34"/>
      <c r="D31" s="34">
        <v>4</v>
      </c>
      <c r="E31" s="34"/>
      <c r="F31" s="34"/>
      <c r="G31" s="34"/>
    </row>
    <row r="32" spans="2:7">
      <c r="B32" s="31" t="s">
        <v>96</v>
      </c>
      <c r="C32" s="34"/>
      <c r="D32" s="34">
        <v>4</v>
      </c>
      <c r="E32" s="34"/>
      <c r="F32" s="34"/>
      <c r="G32" s="34"/>
    </row>
    <row r="33" spans="2:7">
      <c r="B33" s="31" t="s">
        <v>95</v>
      </c>
      <c r="C33" s="34"/>
      <c r="D33" s="34">
        <v>4</v>
      </c>
      <c r="E33" s="34"/>
      <c r="F33" s="34"/>
      <c r="G33" s="34"/>
    </row>
    <row r="34" spans="2:7">
      <c r="B34" s="31" t="s">
        <v>159</v>
      </c>
      <c r="C34" s="34"/>
      <c r="D34" s="34"/>
      <c r="E34" s="34">
        <v>2</v>
      </c>
      <c r="F34" s="34"/>
      <c r="G34" s="34">
        <v>1</v>
      </c>
    </row>
    <row r="35" spans="2:7">
      <c r="B35" s="31" t="s">
        <v>192</v>
      </c>
      <c r="C35" s="34"/>
      <c r="D35" s="34"/>
      <c r="E35" s="34"/>
      <c r="F35" s="34"/>
      <c r="G35" s="34">
        <v>1</v>
      </c>
    </row>
    <row r="36" spans="2:7">
      <c r="B36" s="31" t="s">
        <v>179</v>
      </c>
      <c r="C36" s="34"/>
      <c r="D36" s="34"/>
      <c r="E36" s="34"/>
      <c r="F36" s="34"/>
      <c r="G36" s="34">
        <v>1</v>
      </c>
    </row>
    <row r="37" spans="2:7">
      <c r="B37" s="31" t="s">
        <v>175</v>
      </c>
      <c r="C37" s="34"/>
      <c r="D37" s="34"/>
      <c r="E37" s="34"/>
      <c r="F37" s="34"/>
      <c r="G37" s="34">
        <v>3</v>
      </c>
    </row>
    <row r="38" spans="2:7">
      <c r="B38" s="31" t="s">
        <v>188</v>
      </c>
      <c r="C38" s="34"/>
      <c r="D38" s="34"/>
      <c r="E38" s="34"/>
      <c r="F38" s="34"/>
      <c r="G38" s="34">
        <v>4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1AC12-9D8E-4F69-A80F-E5CA9CB07717}">
  <dimension ref="A1:D31"/>
  <sheetViews>
    <sheetView tabSelected="1" zoomScale="85" zoomScaleNormal="85" workbookViewId="0">
      <selection activeCell="H11" sqref="H11"/>
    </sheetView>
  </sheetViews>
  <sheetFormatPr defaultRowHeight="16.5"/>
  <cols>
    <col min="1" max="1" width="12.875" customWidth="1"/>
    <col min="3" max="3" width="13" bestFit="1" customWidth="1"/>
    <col min="4" max="4" width="15.75" bestFit="1" customWidth="1"/>
  </cols>
  <sheetData>
    <row r="1" spans="1:4">
      <c r="A1" s="9" t="s">
        <v>588</v>
      </c>
      <c r="B1" s="9"/>
      <c r="C1" s="9" t="s">
        <v>54</v>
      </c>
      <c r="D1" s="10" t="s">
        <v>55</v>
      </c>
    </row>
    <row r="2" spans="1:4">
      <c r="A2" s="1" t="s">
        <v>0</v>
      </c>
      <c r="B2" s="1" t="s">
        <v>1</v>
      </c>
      <c r="C2" s="1">
        <v>48</v>
      </c>
      <c r="D2" s="1">
        <v>48</v>
      </c>
    </row>
    <row r="3" spans="1:4">
      <c r="A3" s="1" t="s">
        <v>2</v>
      </c>
      <c r="B3" s="1" t="s">
        <v>3</v>
      </c>
      <c r="C3" s="1">
        <v>47</v>
      </c>
      <c r="D3" s="1">
        <v>47</v>
      </c>
    </row>
    <row r="4" spans="1:4">
      <c r="A4" s="1" t="s">
        <v>4</v>
      </c>
      <c r="B4" s="1" t="s">
        <v>5</v>
      </c>
      <c r="C4" s="1">
        <v>76</v>
      </c>
      <c r="D4" s="1">
        <v>76</v>
      </c>
    </row>
    <row r="5" spans="1:4">
      <c r="A5" s="1" t="s">
        <v>6</v>
      </c>
      <c r="B5" s="1" t="s">
        <v>7</v>
      </c>
      <c r="C5" s="1">
        <v>53</v>
      </c>
      <c r="D5" s="1">
        <v>53</v>
      </c>
    </row>
    <row r="6" spans="1:4">
      <c r="A6" s="2" t="s">
        <v>8</v>
      </c>
      <c r="B6" s="2" t="s">
        <v>9</v>
      </c>
      <c r="C6" s="3">
        <v>25</v>
      </c>
      <c r="D6" s="3">
        <v>25</v>
      </c>
    </row>
    <row r="7" spans="1:4">
      <c r="A7" s="1" t="s">
        <v>10</v>
      </c>
      <c r="B7" s="1" t="s">
        <v>11</v>
      </c>
      <c r="C7" s="1">
        <v>25</v>
      </c>
      <c r="D7" s="1">
        <v>25</v>
      </c>
    </row>
    <row r="8" spans="1:4">
      <c r="A8" s="1" t="s">
        <v>12</v>
      </c>
      <c r="B8" s="1" t="s">
        <v>13</v>
      </c>
      <c r="C8" s="1">
        <v>42</v>
      </c>
      <c r="D8" s="1">
        <v>42</v>
      </c>
    </row>
    <row r="9" spans="1:4">
      <c r="A9" s="1" t="s">
        <v>15</v>
      </c>
      <c r="B9" s="1" t="s">
        <v>16</v>
      </c>
      <c r="C9" s="1">
        <v>38</v>
      </c>
      <c r="D9" s="1">
        <v>38</v>
      </c>
    </row>
    <row r="10" spans="1:4">
      <c r="A10" s="1" t="s">
        <v>17</v>
      </c>
      <c r="B10" s="1" t="s">
        <v>18</v>
      </c>
      <c r="C10" s="1">
        <v>38</v>
      </c>
      <c r="D10" s="1">
        <v>38</v>
      </c>
    </row>
    <row r="11" spans="1:4">
      <c r="A11" s="1" t="s">
        <v>19</v>
      </c>
      <c r="B11" s="1" t="s">
        <v>20</v>
      </c>
      <c r="C11" s="1">
        <v>34</v>
      </c>
      <c r="D11" s="1">
        <v>34</v>
      </c>
    </row>
    <row r="12" spans="1:4">
      <c r="A12" s="1" t="s">
        <v>21</v>
      </c>
      <c r="B12" s="1" t="s">
        <v>22</v>
      </c>
      <c r="C12" s="1">
        <v>30</v>
      </c>
      <c r="D12" s="1">
        <v>32</v>
      </c>
    </row>
    <row r="13" spans="1:4">
      <c r="A13" s="1" t="s">
        <v>23</v>
      </c>
      <c r="B13" s="1" t="s">
        <v>24</v>
      </c>
      <c r="C13" s="1">
        <v>20</v>
      </c>
      <c r="D13" s="1">
        <v>20</v>
      </c>
    </row>
    <row r="14" spans="1:4">
      <c r="A14" s="1" t="s">
        <v>25</v>
      </c>
      <c r="B14" s="1" t="s">
        <v>26</v>
      </c>
      <c r="C14" s="4">
        <v>31</v>
      </c>
      <c r="D14" s="4">
        <v>31</v>
      </c>
    </row>
    <row r="15" spans="1:4">
      <c r="A15" s="1" t="s">
        <v>27</v>
      </c>
      <c r="B15" s="1" t="s">
        <v>28</v>
      </c>
      <c r="C15" s="4">
        <v>42</v>
      </c>
      <c r="D15" s="4">
        <v>42</v>
      </c>
    </row>
    <row r="16" spans="1:4">
      <c r="A16" s="1" t="s">
        <v>29</v>
      </c>
      <c r="B16" s="1" t="s">
        <v>30</v>
      </c>
      <c r="C16" s="4">
        <v>42</v>
      </c>
      <c r="D16" s="4">
        <v>42</v>
      </c>
    </row>
    <row r="17" spans="1:4">
      <c r="A17" s="1" t="s">
        <v>31</v>
      </c>
      <c r="B17" s="1" t="s">
        <v>32</v>
      </c>
      <c r="C17" s="4">
        <v>34</v>
      </c>
      <c r="D17" s="4">
        <v>34</v>
      </c>
    </row>
    <row r="18" spans="1:4">
      <c r="A18" s="2" t="s">
        <v>33</v>
      </c>
      <c r="B18" s="2" t="s">
        <v>34</v>
      </c>
      <c r="C18" s="2">
        <v>31</v>
      </c>
      <c r="D18" s="2">
        <v>31</v>
      </c>
    </row>
    <row r="19" spans="1:4">
      <c r="A19" s="1" t="s">
        <v>35</v>
      </c>
      <c r="B19" s="1" t="s">
        <v>36</v>
      </c>
      <c r="C19" s="1">
        <v>32</v>
      </c>
      <c r="D19" s="1">
        <v>32</v>
      </c>
    </row>
    <row r="20" spans="1:4">
      <c r="A20" s="2" t="s">
        <v>37</v>
      </c>
      <c r="B20" s="2" t="s">
        <v>38</v>
      </c>
      <c r="C20" s="2">
        <v>31</v>
      </c>
      <c r="D20" s="2">
        <v>31</v>
      </c>
    </row>
    <row r="21" spans="1:4">
      <c r="A21" s="1" t="s">
        <v>39</v>
      </c>
      <c r="B21" s="1" t="s">
        <v>40</v>
      </c>
      <c r="C21" s="1">
        <v>29</v>
      </c>
      <c r="D21" s="1">
        <v>31</v>
      </c>
    </row>
    <row r="22" spans="1:4">
      <c r="A22" s="1" t="s">
        <v>41</v>
      </c>
      <c r="B22" s="1" t="s">
        <v>42</v>
      </c>
      <c r="C22" s="1">
        <v>29</v>
      </c>
      <c r="D22" s="1">
        <v>31</v>
      </c>
    </row>
    <row r="23" spans="1:4">
      <c r="A23" s="1" t="s">
        <v>43</v>
      </c>
      <c r="B23" s="1" t="s">
        <v>44</v>
      </c>
      <c r="C23" s="1">
        <v>29</v>
      </c>
      <c r="D23" s="1">
        <v>31</v>
      </c>
    </row>
    <row r="24" spans="1:4">
      <c r="A24" s="1" t="s">
        <v>45</v>
      </c>
      <c r="B24" s="1" t="s">
        <v>46</v>
      </c>
      <c r="C24" s="5">
        <v>29</v>
      </c>
      <c r="D24" s="5">
        <v>34</v>
      </c>
    </row>
    <row r="25" spans="1:4">
      <c r="A25" s="1" t="s">
        <v>47</v>
      </c>
      <c r="B25" s="1">
        <v>303</v>
      </c>
      <c r="C25" s="11">
        <v>111</v>
      </c>
      <c r="D25" s="14">
        <v>100</v>
      </c>
    </row>
    <row r="26" spans="1:4">
      <c r="A26" s="1" t="s">
        <v>48</v>
      </c>
      <c r="B26" s="1">
        <v>203</v>
      </c>
      <c r="C26" s="11">
        <v>84</v>
      </c>
      <c r="D26" s="14">
        <v>84</v>
      </c>
    </row>
    <row r="27" spans="1:4">
      <c r="A27" s="2" t="s">
        <v>49</v>
      </c>
      <c r="B27" s="2">
        <v>204</v>
      </c>
      <c r="C27" s="12">
        <v>34</v>
      </c>
      <c r="D27" s="7">
        <v>34</v>
      </c>
    </row>
    <row r="28" spans="1:4">
      <c r="A28" s="1" t="s">
        <v>50</v>
      </c>
      <c r="B28" s="1">
        <v>104</v>
      </c>
      <c r="C28" s="6">
        <v>30</v>
      </c>
      <c r="D28" s="1">
        <v>30</v>
      </c>
    </row>
    <row r="29" spans="1:4">
      <c r="A29" s="1" t="s">
        <v>51</v>
      </c>
      <c r="B29" s="1">
        <v>101</v>
      </c>
      <c r="C29" s="11">
        <v>29</v>
      </c>
      <c r="D29" s="14">
        <v>34</v>
      </c>
    </row>
    <row r="30" spans="1:4">
      <c r="A30" s="8" t="s">
        <v>52</v>
      </c>
      <c r="B30" s="8">
        <v>103</v>
      </c>
      <c r="C30" s="13">
        <v>66</v>
      </c>
      <c r="D30" s="15">
        <v>66</v>
      </c>
    </row>
    <row r="31" spans="1:4">
      <c r="A31" s="1" t="s">
        <v>53</v>
      </c>
      <c r="B31" s="1">
        <v>201</v>
      </c>
      <c r="C31" s="11">
        <v>29</v>
      </c>
      <c r="D31" s="14">
        <v>34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Wed(Term1)</vt:lpstr>
      <vt:lpstr>Fri(Term1)</vt:lpstr>
      <vt:lpstr>Mon(Term1) </vt:lpstr>
      <vt:lpstr>Tue(Term1)</vt:lpstr>
      <vt:lpstr>Thu(Term1)</vt:lpstr>
      <vt:lpstr>Class list</vt:lpstr>
      <vt:lpstr>Class list answer</vt:lpstr>
      <vt:lpstr>Teacher load table with subject</vt:lpstr>
      <vt:lpstr>Centre Room Allocation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 Hugh</dc:creator>
  <cp:lastModifiedBy>Jo Hugh</cp:lastModifiedBy>
  <dcterms:created xsi:type="dcterms:W3CDTF">2026-04-28T05:19:02Z</dcterms:created>
  <dcterms:modified xsi:type="dcterms:W3CDTF">2026-04-28T09:31:25Z</dcterms:modified>
</cp:coreProperties>
</file>